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5" windowHeight="18150" activeTab="4"/>
  </bookViews>
  <sheets>
    <sheet name="Location" sheetId="2" r:id="rId1"/>
    <sheet name="Data" sheetId="1" r:id="rId2"/>
    <sheet name="Data Day" sheetId="7" r:id="rId3"/>
    <sheet name="WC" sheetId="5" r:id="rId4"/>
    <sheet name="Distance Constraint" sheetId="6" r:id="rId5"/>
  </sheets>
  <calcPr calcId="144525"/>
</workbook>
</file>

<file path=xl/sharedStrings.xml><?xml version="1.0" encoding="utf-8"?>
<sst xmlns="http://schemas.openxmlformats.org/spreadsheetml/2006/main" count="226" uniqueCount="38">
  <si>
    <t>WELL</t>
  </si>
  <si>
    <t>X</t>
  </si>
  <si>
    <t>Y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</si>
  <si>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</si>
  <si>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</si>
  <si>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</si>
  <si>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</si>
  <si>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</si>
  <si>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</si>
  <si>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</si>
  <si>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</si>
  <si>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</si>
  <si>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</si>
  <si>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</si>
  <si>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</si>
  <si>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</si>
  <si>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</si>
  <si>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</si>
  <si>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</si>
  <si>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</si>
  <si>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</si>
  <si>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</si>
  <si>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</si>
  <si>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</si>
  <si>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</si>
  <si>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</si>
  <si>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</si>
  <si>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</si>
  <si>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</si>
  <si>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</si>
  <si>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</si>
  <si>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</si>
  <si>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</si>
  <si>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Days</t>
  </si>
  <si>
    <t>Date</t>
  </si>
  <si>
    <t>Well</t>
  </si>
  <si>
    <t>Distance</t>
  </si>
  <si>
    <t>AVERAGE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</si>
</sst>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35" borderId="8" applyNumberFormat="0" applyFont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4" borderId="2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3" borderId="1" xfId="0" applyFill="1" applyBorder="1" applyAlignment="1">
      <alignment horizontal="center"/>
    </xf>
    <xf numFmtId="58" fontId="0" fillId="0" borderId="0" xfId="0" applyNumberFormat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2" sqref="A2:A31"/>
    </sheetView>
  </sheetViews>
  <sheetFormatPr defaultColWidth="9" defaultRowHeight="14.25" outlineLevelCol="2"/>
  <cols>
    <col min="1" max="1" width="18.125" style="1" customWidth="1"/>
    <col min="2" max="2" width="17.75" style="1" customWidth="1"/>
    <col min="3" max="3" width="20.62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1">
        <v>696303.0963513</v>
      </c>
      <c r="C2" s="1">
        <v>181601.797759</v>
      </c>
    </row>
    <row r="3" spans="1:3">
      <c r="A3" s="3" t="s">
        <v>4</v>
      </c>
      <c r="B3" s="1">
        <v>696556.701274</v>
      </c>
      <c r="C3" s="1">
        <v>181713.1036978</v>
      </c>
    </row>
    <row r="4" spans="1:3">
      <c r="A4" s="3" t="s">
        <v>5</v>
      </c>
      <c r="B4" s="1">
        <v>696557.1030186</v>
      </c>
      <c r="C4" s="1">
        <v>181233.1351873</v>
      </c>
    </row>
    <row r="5" spans="1:3">
      <c r="A5" s="3" t="s">
        <v>6</v>
      </c>
      <c r="B5" s="1">
        <v>697061.3342044</v>
      </c>
      <c r="C5" s="1">
        <v>181729.596466</v>
      </c>
    </row>
    <row r="6" spans="1:3">
      <c r="A6" s="3" t="s">
        <v>7</v>
      </c>
      <c r="B6" s="1">
        <v>696322.8927502</v>
      </c>
      <c r="C6" s="1">
        <v>180996.8094482</v>
      </c>
    </row>
    <row r="7" spans="1:3">
      <c r="A7" s="3" t="s">
        <v>8</v>
      </c>
      <c r="B7" s="1">
        <v>696666.6698676</v>
      </c>
      <c r="C7" s="1">
        <v>180933.5262652</v>
      </c>
    </row>
    <row r="8" spans="1:3">
      <c r="A8" s="3" t="s">
        <v>9</v>
      </c>
      <c r="B8" s="1">
        <v>696753.1818495</v>
      </c>
      <c r="C8" s="1">
        <v>181764.5997895</v>
      </c>
    </row>
    <row r="9" spans="1:3">
      <c r="A9" s="3" t="s">
        <v>10</v>
      </c>
      <c r="B9" s="1">
        <v>696537.76</v>
      </c>
      <c r="C9" s="1">
        <v>181562.52</v>
      </c>
    </row>
    <row r="10" spans="1:3">
      <c r="A10" s="3" t="s">
        <v>11</v>
      </c>
      <c r="B10" s="1">
        <v>696691.15</v>
      </c>
      <c r="C10" s="1">
        <v>181342.19</v>
      </c>
    </row>
    <row r="11" spans="1:3">
      <c r="A11" s="3" t="s">
        <v>12</v>
      </c>
      <c r="B11" s="1">
        <v>696900.05</v>
      </c>
      <c r="C11" s="1">
        <v>181342.08</v>
      </c>
    </row>
    <row r="12" spans="1:3">
      <c r="A12" s="3" t="s">
        <v>13</v>
      </c>
      <c r="B12" s="1">
        <v>696789.95</v>
      </c>
      <c r="C12" s="1">
        <v>181223.97</v>
      </c>
    </row>
    <row r="13" spans="1:3">
      <c r="A13" s="3" t="s">
        <v>14</v>
      </c>
      <c r="B13" s="1">
        <v>696676.01</v>
      </c>
      <c r="C13" s="1">
        <v>181126</v>
      </c>
    </row>
    <row r="14" spans="1:3">
      <c r="A14" s="3" t="s">
        <v>15</v>
      </c>
      <c r="B14" s="1">
        <v>696632.98</v>
      </c>
      <c r="C14" s="1">
        <v>181604.83</v>
      </c>
    </row>
    <row r="15" spans="1:3">
      <c r="A15" s="3" t="s">
        <v>16</v>
      </c>
      <c r="B15" s="1">
        <v>696800.37</v>
      </c>
      <c r="C15" s="1">
        <v>181483.08</v>
      </c>
    </row>
    <row r="16" spans="1:3">
      <c r="A16" s="3" t="s">
        <v>17</v>
      </c>
      <c r="B16" s="1">
        <v>696769.99</v>
      </c>
      <c r="C16" s="1">
        <v>181734.08</v>
      </c>
    </row>
    <row r="17" spans="1:3">
      <c r="A17" s="3" t="s">
        <v>18</v>
      </c>
      <c r="B17" s="1">
        <v>696263.875</v>
      </c>
      <c r="C17" s="1">
        <v>181482.938</v>
      </c>
    </row>
    <row r="18" spans="1:3">
      <c r="A18" s="3" t="s">
        <v>19</v>
      </c>
      <c r="B18" s="1">
        <v>696503</v>
      </c>
      <c r="C18" s="1">
        <v>181491</v>
      </c>
    </row>
    <row r="19" spans="1:3">
      <c r="A19" s="3" t="s">
        <v>20</v>
      </c>
      <c r="B19" s="1">
        <v>696054</v>
      </c>
      <c r="C19" s="1">
        <v>181243.8</v>
      </c>
    </row>
    <row r="20" spans="1:3">
      <c r="A20" s="3" t="s">
        <v>21</v>
      </c>
      <c r="B20" s="1">
        <v>696150</v>
      </c>
      <c r="C20" s="1">
        <v>181137</v>
      </c>
    </row>
    <row r="21" spans="1:3">
      <c r="A21" s="3" t="s">
        <v>22</v>
      </c>
      <c r="B21" s="1">
        <v>696276</v>
      </c>
      <c r="C21" s="1">
        <v>181263</v>
      </c>
    </row>
    <row r="22" spans="1:3">
      <c r="A22" s="3" t="s">
        <v>23</v>
      </c>
      <c r="B22" s="1">
        <v>696390</v>
      </c>
      <c r="C22" s="1">
        <v>181357</v>
      </c>
    </row>
    <row r="23" spans="1:3">
      <c r="A23" s="3" t="s">
        <v>24</v>
      </c>
      <c r="B23" s="1">
        <v>696896</v>
      </c>
      <c r="C23" s="1">
        <v>181868</v>
      </c>
    </row>
    <row r="24" spans="1:3">
      <c r="A24" s="4" t="s">
        <v>25</v>
      </c>
      <c r="B24" s="1">
        <v>697022.2099001</v>
      </c>
      <c r="C24" s="1">
        <v>181198.4022454</v>
      </c>
    </row>
    <row r="25" spans="1:3">
      <c r="A25" s="4" t="s">
        <v>26</v>
      </c>
      <c r="B25" s="1">
        <v>696496.6354673</v>
      </c>
      <c r="C25" s="1">
        <v>180875.1207178</v>
      </c>
    </row>
    <row r="26" spans="1:3">
      <c r="A26" s="4" t="s">
        <v>27</v>
      </c>
      <c r="B26" s="1">
        <v>696417</v>
      </c>
      <c r="C26" s="1">
        <v>181126.375</v>
      </c>
    </row>
    <row r="27" spans="1:3">
      <c r="A27" s="4" t="s">
        <v>28</v>
      </c>
      <c r="B27" s="1">
        <v>696636.375</v>
      </c>
      <c r="C27" s="1">
        <v>181376.719</v>
      </c>
    </row>
    <row r="28" spans="1:3">
      <c r="A28" s="4" t="s">
        <v>29</v>
      </c>
      <c r="B28" s="1">
        <v>696909.05</v>
      </c>
      <c r="C28" s="1">
        <v>181621.97</v>
      </c>
    </row>
    <row r="29" spans="1:3">
      <c r="A29" s="4" t="s">
        <v>30</v>
      </c>
      <c r="B29" s="1">
        <v>696635.9</v>
      </c>
      <c r="C29" s="1">
        <v>181853.97</v>
      </c>
    </row>
    <row r="30" spans="1:3">
      <c r="A30" s="4" t="s">
        <v>31</v>
      </c>
      <c r="B30" s="1">
        <v>696132.5</v>
      </c>
      <c r="C30" s="1">
        <v>181367.8</v>
      </c>
    </row>
    <row r="31" spans="1:3">
      <c r="A31" s="4" t="s">
        <v>32</v>
      </c>
      <c r="B31" s="1">
        <v>696375.62</v>
      </c>
      <c r="C31" s="1">
        <v>181602.41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4"/>
  <sheetViews>
    <sheetView workbookViewId="0">
      <pane xSplit="2" ySplit="1" topLeftCell="D2" activePane="bottomRight" state="frozen"/>
      <selection/>
      <selection pane="topRight"/>
      <selection pane="bottomLeft"/>
      <selection pane="bottomRight" activeCell="C1" sqref="C1:AF1"/>
    </sheetView>
  </sheetViews>
  <sheetFormatPr defaultColWidth="9" defaultRowHeight="14.25"/>
  <cols>
    <col min="1" max="1" width="4.81666666666667" style="1" customWidth="1"/>
    <col min="2" max="2" width="10.45" style="11" customWidth="1"/>
    <col min="3" max="32" width="8.725" style="15"/>
  </cols>
  <sheetData>
    <row r="1" spans="1:32">
      <c r="A1" s="1" t="s">
        <v>33</v>
      </c>
      <c r="B1" s="11" t="s">
        <v>34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</row>
    <row r="2" spans="1:32">
      <c r="A2" s="1">
        <v>30</v>
      </c>
      <c r="B2" s="11">
        <v>37437</v>
      </c>
      <c r="C2" s="14">
        <v>0</v>
      </c>
      <c r="D2" s="14">
        <v>4711</v>
      </c>
      <c r="E2" s="14">
        <v>4254</v>
      </c>
      <c r="F2" s="14">
        <v>21942</v>
      </c>
      <c r="G2" s="14">
        <v>3065</v>
      </c>
      <c r="H2" s="14">
        <v>0</v>
      </c>
      <c r="I2" s="14">
        <v>0</v>
      </c>
      <c r="J2" s="14">
        <v>7124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131183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</row>
    <row r="3" spans="1:32">
      <c r="A3" s="1">
        <v>61</v>
      </c>
      <c r="B3" s="11">
        <v>37468</v>
      </c>
      <c r="C3" s="14">
        <v>0</v>
      </c>
      <c r="D3" s="14">
        <v>4485</v>
      </c>
      <c r="E3" s="14">
        <v>4525</v>
      </c>
      <c r="F3" s="14">
        <v>21633</v>
      </c>
      <c r="G3" s="14">
        <v>2400</v>
      </c>
      <c r="H3" s="14">
        <v>0</v>
      </c>
      <c r="I3" s="14">
        <v>0</v>
      </c>
      <c r="J3" s="14">
        <v>11037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156496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</row>
    <row r="4" spans="1:32">
      <c r="A4" s="1">
        <v>92</v>
      </c>
      <c r="B4" s="11">
        <v>37499</v>
      </c>
      <c r="C4" s="14">
        <v>2230</v>
      </c>
      <c r="D4" s="14">
        <v>4052</v>
      </c>
      <c r="E4" s="14">
        <v>4293</v>
      </c>
      <c r="F4" s="14">
        <v>34419</v>
      </c>
      <c r="G4" s="14">
        <v>4961</v>
      </c>
      <c r="H4" s="14">
        <v>0</v>
      </c>
      <c r="I4" s="14">
        <v>0</v>
      </c>
      <c r="J4" s="14">
        <v>7947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171581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</row>
    <row r="5" spans="1:32">
      <c r="A5" s="1">
        <v>122</v>
      </c>
      <c r="B5" s="11">
        <v>37529</v>
      </c>
      <c r="C5" s="14">
        <v>7415</v>
      </c>
      <c r="D5" s="14">
        <v>4097</v>
      </c>
      <c r="E5" s="14">
        <v>2681</v>
      </c>
      <c r="F5" s="14">
        <v>34827</v>
      </c>
      <c r="G5" s="14">
        <v>11990</v>
      </c>
      <c r="H5" s="14">
        <v>0</v>
      </c>
      <c r="I5" s="14">
        <v>0</v>
      </c>
      <c r="J5" s="14">
        <v>4979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153231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</row>
    <row r="6" spans="1:32">
      <c r="A6" s="1">
        <v>153</v>
      </c>
      <c r="B6" s="11">
        <v>37560</v>
      </c>
      <c r="C6" s="14">
        <v>9254</v>
      </c>
      <c r="D6" s="14">
        <v>4330</v>
      </c>
      <c r="E6" s="14">
        <v>4581</v>
      </c>
      <c r="F6" s="14">
        <v>33808</v>
      </c>
      <c r="G6" s="14">
        <v>14308</v>
      </c>
      <c r="H6" s="14">
        <v>0</v>
      </c>
      <c r="I6" s="14">
        <v>0</v>
      </c>
      <c r="J6" s="14">
        <v>6055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160102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</row>
    <row r="7" spans="1:32">
      <c r="A7" s="1">
        <v>183</v>
      </c>
      <c r="B7" s="11">
        <v>37590</v>
      </c>
      <c r="C7" s="14">
        <v>10373</v>
      </c>
      <c r="D7" s="14">
        <v>5354</v>
      </c>
      <c r="E7" s="14">
        <v>5756</v>
      </c>
      <c r="F7" s="14">
        <v>31752</v>
      </c>
      <c r="G7" s="14">
        <v>9304</v>
      </c>
      <c r="H7" s="14">
        <v>0</v>
      </c>
      <c r="I7" s="14">
        <v>0</v>
      </c>
      <c r="J7" s="14">
        <v>8253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158075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</row>
    <row r="8" spans="1:32">
      <c r="A8" s="1">
        <v>214</v>
      </c>
      <c r="B8" s="11">
        <v>37621</v>
      </c>
      <c r="C8" s="14">
        <v>14166</v>
      </c>
      <c r="D8" s="14">
        <v>4961</v>
      </c>
      <c r="E8" s="14">
        <v>6177</v>
      </c>
      <c r="F8" s="14">
        <v>32718</v>
      </c>
      <c r="G8" s="14">
        <v>8124</v>
      </c>
      <c r="H8" s="14">
        <v>0</v>
      </c>
      <c r="I8" s="14">
        <v>0</v>
      </c>
      <c r="J8" s="14">
        <v>6354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136422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</row>
    <row r="9" spans="1:32">
      <c r="A9" s="1">
        <v>245</v>
      </c>
      <c r="B9" s="11">
        <v>37652</v>
      </c>
      <c r="C9" s="14">
        <v>2689</v>
      </c>
      <c r="D9" s="14">
        <v>3686</v>
      </c>
      <c r="E9" s="14">
        <v>3911</v>
      </c>
      <c r="F9" s="14">
        <v>28756</v>
      </c>
      <c r="G9" s="14">
        <v>8805</v>
      </c>
      <c r="H9" s="14">
        <v>0</v>
      </c>
      <c r="I9" s="14">
        <v>0</v>
      </c>
      <c r="J9" s="14">
        <v>6385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125613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</row>
    <row r="10" spans="1:32">
      <c r="A10" s="1">
        <v>273</v>
      </c>
      <c r="B10" s="11">
        <v>37680</v>
      </c>
      <c r="C10" s="14">
        <v>3669</v>
      </c>
      <c r="D10" s="14">
        <v>3354</v>
      </c>
      <c r="E10" s="14">
        <v>2363</v>
      </c>
      <c r="F10" s="14">
        <v>27816</v>
      </c>
      <c r="G10" s="14">
        <v>13224</v>
      </c>
      <c r="H10" s="14">
        <v>0</v>
      </c>
      <c r="I10" s="14">
        <v>0</v>
      </c>
      <c r="J10" s="14">
        <v>7210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117900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</row>
    <row r="11" spans="1:32">
      <c r="A11" s="1">
        <v>304</v>
      </c>
      <c r="B11" s="11">
        <v>37711</v>
      </c>
      <c r="C11" s="14">
        <v>3207</v>
      </c>
      <c r="D11" s="14">
        <v>3782</v>
      </c>
      <c r="E11" s="14">
        <v>4291</v>
      </c>
      <c r="F11" s="14">
        <v>26975</v>
      </c>
      <c r="G11" s="14">
        <v>17833</v>
      </c>
      <c r="H11" s="14">
        <v>0</v>
      </c>
      <c r="I11" s="14">
        <v>0</v>
      </c>
      <c r="J11" s="14">
        <v>8505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87158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</row>
    <row r="12" spans="1:32">
      <c r="A12" s="1">
        <v>334</v>
      </c>
      <c r="B12" s="11">
        <v>37741</v>
      </c>
      <c r="C12" s="14">
        <v>4649</v>
      </c>
      <c r="D12" s="14">
        <v>3955</v>
      </c>
      <c r="E12" s="14">
        <v>1550</v>
      </c>
      <c r="F12" s="14">
        <v>25413</v>
      </c>
      <c r="G12" s="14">
        <v>17864</v>
      </c>
      <c r="H12" s="14">
        <v>0</v>
      </c>
      <c r="I12" s="14">
        <v>0</v>
      </c>
      <c r="J12" s="14">
        <v>8159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125313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</row>
    <row r="13" spans="1:32">
      <c r="A13" s="1">
        <v>365</v>
      </c>
      <c r="B13" s="11">
        <v>37772</v>
      </c>
      <c r="C13" s="14">
        <v>4008</v>
      </c>
      <c r="D13" s="14">
        <v>6894</v>
      </c>
      <c r="E13" s="14">
        <v>1175</v>
      </c>
      <c r="F13" s="14">
        <v>30215</v>
      </c>
      <c r="G13" s="14">
        <v>18094</v>
      </c>
      <c r="H13" s="14">
        <v>0</v>
      </c>
      <c r="I13" s="14">
        <v>0</v>
      </c>
      <c r="J13" s="14">
        <v>6709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113325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</row>
    <row r="14" spans="1:32">
      <c r="A14" s="1">
        <v>395</v>
      </c>
      <c r="B14" s="11">
        <v>37802</v>
      </c>
      <c r="C14" s="14">
        <v>4752</v>
      </c>
      <c r="D14" s="14">
        <v>6613</v>
      </c>
      <c r="E14" s="14">
        <v>5933</v>
      </c>
      <c r="F14" s="14">
        <v>27054</v>
      </c>
      <c r="G14" s="14">
        <v>19070</v>
      </c>
      <c r="H14" s="14">
        <v>0</v>
      </c>
      <c r="I14" s="14">
        <v>0</v>
      </c>
      <c r="J14" s="14">
        <v>7814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120357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</row>
    <row r="15" spans="1:32">
      <c r="A15" s="1">
        <v>426</v>
      </c>
      <c r="B15" s="11">
        <v>37833</v>
      </c>
      <c r="C15" s="14">
        <v>6944</v>
      </c>
      <c r="D15" s="14">
        <v>6929</v>
      </c>
      <c r="E15" s="14">
        <v>4929</v>
      </c>
      <c r="F15" s="14">
        <v>29149</v>
      </c>
      <c r="G15" s="14">
        <v>18162</v>
      </c>
      <c r="H15" s="14">
        <v>0</v>
      </c>
      <c r="I15" s="14">
        <v>0</v>
      </c>
      <c r="J15" s="14">
        <v>11371</v>
      </c>
      <c r="K15" s="14">
        <v>10287</v>
      </c>
      <c r="L15" s="14">
        <v>3559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74151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</row>
    <row r="16" spans="1:32">
      <c r="A16" s="1">
        <v>457</v>
      </c>
      <c r="B16" s="11">
        <v>37864</v>
      </c>
      <c r="C16" s="14">
        <v>7171</v>
      </c>
      <c r="D16" s="14">
        <v>4795</v>
      </c>
      <c r="E16" s="14">
        <v>5165</v>
      </c>
      <c r="F16" s="14">
        <v>29739</v>
      </c>
      <c r="G16" s="14">
        <v>15386</v>
      </c>
      <c r="H16" s="14">
        <v>0</v>
      </c>
      <c r="I16" s="14">
        <v>0</v>
      </c>
      <c r="J16" s="14">
        <v>9366</v>
      </c>
      <c r="K16" s="14">
        <v>13110</v>
      </c>
      <c r="L16" s="14">
        <v>23447</v>
      </c>
      <c r="M16" s="14">
        <v>3186</v>
      </c>
      <c r="N16" s="14">
        <v>10236</v>
      </c>
      <c r="O16" s="14">
        <v>1500</v>
      </c>
      <c r="P16" s="14">
        <v>4740</v>
      </c>
      <c r="Q16" s="14">
        <v>5656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</row>
    <row r="17" spans="1:32">
      <c r="A17" s="1">
        <v>487</v>
      </c>
      <c r="B17" s="11">
        <v>37894</v>
      </c>
      <c r="C17" s="14">
        <v>9220</v>
      </c>
      <c r="D17" s="14">
        <v>2248</v>
      </c>
      <c r="E17" s="14">
        <v>3417</v>
      </c>
      <c r="F17" s="14">
        <v>29840</v>
      </c>
      <c r="G17" s="14">
        <v>14644</v>
      </c>
      <c r="H17" s="14">
        <v>0</v>
      </c>
      <c r="I17" s="14">
        <v>0</v>
      </c>
      <c r="J17" s="14">
        <v>7930</v>
      </c>
      <c r="K17" s="14">
        <v>12966</v>
      </c>
      <c r="L17" s="14">
        <v>18031</v>
      </c>
      <c r="M17" s="14">
        <v>16809</v>
      </c>
      <c r="N17" s="14">
        <v>4028</v>
      </c>
      <c r="O17" s="14">
        <v>8249</v>
      </c>
      <c r="P17" s="14">
        <v>24800</v>
      </c>
      <c r="Q17" s="14">
        <v>36926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2600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</row>
    <row r="18" spans="1:32">
      <c r="A18" s="1">
        <v>518</v>
      </c>
      <c r="B18" s="11">
        <v>37925</v>
      </c>
      <c r="C18" s="14">
        <v>6911</v>
      </c>
      <c r="D18" s="14">
        <v>2959</v>
      </c>
      <c r="E18" s="14">
        <v>4031</v>
      </c>
      <c r="F18" s="14">
        <v>23873</v>
      </c>
      <c r="G18" s="14">
        <v>13892</v>
      </c>
      <c r="H18" s="14">
        <v>0</v>
      </c>
      <c r="I18" s="14">
        <v>0</v>
      </c>
      <c r="J18" s="14">
        <v>7786</v>
      </c>
      <c r="K18" s="14">
        <v>12536</v>
      </c>
      <c r="L18" s="14">
        <v>15759</v>
      </c>
      <c r="M18" s="14">
        <v>13716</v>
      </c>
      <c r="N18" s="14">
        <v>9687</v>
      </c>
      <c r="O18" s="14">
        <v>4909</v>
      </c>
      <c r="P18" s="14">
        <v>30962</v>
      </c>
      <c r="Q18" s="14">
        <v>38052</v>
      </c>
      <c r="R18" s="14">
        <v>905</v>
      </c>
      <c r="S18" s="14">
        <v>931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3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>
      <c r="A19" s="1">
        <v>548</v>
      </c>
      <c r="B19" s="11">
        <v>37955</v>
      </c>
      <c r="C19" s="14">
        <v>2762</v>
      </c>
      <c r="D19" s="14">
        <v>3898</v>
      </c>
      <c r="E19" s="14">
        <v>2274</v>
      </c>
      <c r="F19" s="14">
        <v>31892</v>
      </c>
      <c r="G19" s="14">
        <v>5364</v>
      </c>
      <c r="H19" s="14">
        <v>0</v>
      </c>
      <c r="I19" s="14">
        <v>0</v>
      </c>
      <c r="J19" s="14">
        <v>9350</v>
      </c>
      <c r="K19" s="14">
        <v>14267</v>
      </c>
      <c r="L19" s="14">
        <v>16924</v>
      </c>
      <c r="M19" s="14">
        <v>13965</v>
      </c>
      <c r="N19" s="14">
        <v>8765</v>
      </c>
      <c r="O19" s="14">
        <v>3973</v>
      </c>
      <c r="P19" s="14">
        <v>28792</v>
      </c>
      <c r="Q19" s="14">
        <v>34703</v>
      </c>
      <c r="R19" s="14">
        <v>870</v>
      </c>
      <c r="S19" s="14">
        <v>2011</v>
      </c>
      <c r="T19" s="14">
        <v>0</v>
      </c>
      <c r="U19" s="14">
        <v>0</v>
      </c>
      <c r="V19" s="14">
        <v>865</v>
      </c>
      <c r="W19" s="14">
        <v>665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</row>
    <row r="20" spans="1:32">
      <c r="A20" s="1">
        <v>579</v>
      </c>
      <c r="B20" s="11">
        <v>37986</v>
      </c>
      <c r="C20" s="14">
        <v>6365</v>
      </c>
      <c r="D20" s="14">
        <v>4506</v>
      </c>
      <c r="E20" s="14">
        <v>1983</v>
      </c>
      <c r="F20" s="14">
        <v>28534</v>
      </c>
      <c r="G20" s="14">
        <v>2623</v>
      </c>
      <c r="H20" s="14">
        <v>0</v>
      </c>
      <c r="I20" s="14">
        <v>0</v>
      </c>
      <c r="J20" s="14">
        <v>12661</v>
      </c>
      <c r="K20" s="14">
        <v>11527</v>
      </c>
      <c r="L20" s="14">
        <v>28181</v>
      </c>
      <c r="M20" s="14">
        <v>25108</v>
      </c>
      <c r="N20" s="14">
        <v>10335</v>
      </c>
      <c r="O20" s="14">
        <v>2031</v>
      </c>
      <c r="P20" s="14">
        <v>27248</v>
      </c>
      <c r="Q20" s="14">
        <v>37863</v>
      </c>
      <c r="R20" s="14">
        <v>1319</v>
      </c>
      <c r="S20" s="14">
        <v>313</v>
      </c>
      <c r="T20" s="14">
        <v>0</v>
      </c>
      <c r="U20" s="14">
        <v>0</v>
      </c>
      <c r="V20" s="14">
        <v>1278</v>
      </c>
      <c r="W20" s="14">
        <v>969</v>
      </c>
      <c r="X20" s="14">
        <v>0</v>
      </c>
      <c r="Y20" s="14">
        <v>0</v>
      </c>
      <c r="Z20" s="14">
        <v>0</v>
      </c>
      <c r="AA20" s="14">
        <v>5851</v>
      </c>
      <c r="AB20" s="14">
        <v>29381</v>
      </c>
      <c r="AC20" s="14">
        <v>0</v>
      </c>
      <c r="AD20" s="14">
        <v>0</v>
      </c>
      <c r="AE20" s="14">
        <v>0</v>
      </c>
      <c r="AF20" s="14">
        <v>0</v>
      </c>
    </row>
    <row r="21" spans="1:32">
      <c r="A21" s="1">
        <v>610</v>
      </c>
      <c r="B21" s="11">
        <v>38017</v>
      </c>
      <c r="C21" s="14">
        <v>1851</v>
      </c>
      <c r="D21" s="14">
        <v>4876</v>
      </c>
      <c r="E21" s="14">
        <v>2159</v>
      </c>
      <c r="F21" s="14">
        <v>22001</v>
      </c>
      <c r="G21" s="14">
        <v>598</v>
      </c>
      <c r="H21" s="14">
        <v>0</v>
      </c>
      <c r="I21" s="14">
        <v>0</v>
      </c>
      <c r="J21" s="14">
        <v>10092</v>
      </c>
      <c r="K21" s="14">
        <v>18987</v>
      </c>
      <c r="L21" s="14">
        <v>5833</v>
      </c>
      <c r="M21" s="14">
        <v>8347</v>
      </c>
      <c r="N21" s="14">
        <v>10741</v>
      </c>
      <c r="O21" s="14">
        <v>4994</v>
      </c>
      <c r="P21" s="14">
        <v>26465</v>
      </c>
      <c r="Q21" s="14">
        <v>28974</v>
      </c>
      <c r="R21" s="14">
        <v>2258</v>
      </c>
      <c r="S21" s="14">
        <v>860</v>
      </c>
      <c r="T21" s="14">
        <v>21798</v>
      </c>
      <c r="U21" s="14">
        <v>4346</v>
      </c>
      <c r="V21" s="14">
        <v>670</v>
      </c>
      <c r="W21" s="14">
        <v>604</v>
      </c>
      <c r="X21" s="14">
        <v>16243</v>
      </c>
      <c r="Y21" s="14">
        <v>0</v>
      </c>
      <c r="Z21" s="14">
        <v>0</v>
      </c>
      <c r="AA21" s="14">
        <v>30863</v>
      </c>
      <c r="AB21" s="14">
        <v>32539</v>
      </c>
      <c r="AC21" s="14">
        <v>30874</v>
      </c>
      <c r="AD21" s="14">
        <v>31739</v>
      </c>
      <c r="AE21" s="14">
        <v>0</v>
      </c>
      <c r="AF21" s="14">
        <v>0</v>
      </c>
    </row>
    <row r="22" spans="1:32">
      <c r="A22" s="1">
        <v>639</v>
      </c>
      <c r="B22" s="11">
        <v>38046</v>
      </c>
      <c r="C22" s="14">
        <v>4233</v>
      </c>
      <c r="D22" s="14">
        <v>4435</v>
      </c>
      <c r="E22" s="14">
        <v>3259</v>
      </c>
      <c r="F22" s="14">
        <v>21406</v>
      </c>
      <c r="G22" s="14">
        <v>0</v>
      </c>
      <c r="H22" s="14">
        <v>0</v>
      </c>
      <c r="I22" s="14">
        <v>0</v>
      </c>
      <c r="J22" s="14">
        <v>14904</v>
      </c>
      <c r="K22" s="14">
        <v>19828</v>
      </c>
      <c r="L22" s="14">
        <v>24686</v>
      </c>
      <c r="M22" s="14">
        <v>24263</v>
      </c>
      <c r="N22" s="14">
        <v>10741</v>
      </c>
      <c r="O22" s="14">
        <v>9913</v>
      </c>
      <c r="P22" s="14">
        <v>25144</v>
      </c>
      <c r="Q22" s="14">
        <v>24987</v>
      </c>
      <c r="R22" s="14">
        <v>3975</v>
      </c>
      <c r="S22" s="14">
        <v>5542</v>
      </c>
      <c r="T22" s="14">
        <v>17080</v>
      </c>
      <c r="U22" s="14">
        <v>4264</v>
      </c>
      <c r="V22" s="14">
        <v>330</v>
      </c>
      <c r="W22" s="14">
        <v>2583</v>
      </c>
      <c r="X22" s="14">
        <v>16183</v>
      </c>
      <c r="Y22" s="14">
        <v>0</v>
      </c>
      <c r="Z22" s="14">
        <v>0</v>
      </c>
      <c r="AA22" s="14">
        <v>29398</v>
      </c>
      <c r="AB22" s="14">
        <v>28489</v>
      </c>
      <c r="AC22" s="14">
        <v>29509</v>
      </c>
      <c r="AD22" s="14">
        <v>28814</v>
      </c>
      <c r="AE22" s="14">
        <v>0</v>
      </c>
      <c r="AF22" s="14">
        <v>0</v>
      </c>
    </row>
    <row r="23" spans="1:32">
      <c r="A23" s="1">
        <v>670</v>
      </c>
      <c r="B23" s="11">
        <v>38077</v>
      </c>
      <c r="C23" s="14">
        <v>5109</v>
      </c>
      <c r="D23" s="14">
        <v>5352</v>
      </c>
      <c r="E23" s="14">
        <v>3455</v>
      </c>
      <c r="F23" s="14">
        <v>24315</v>
      </c>
      <c r="G23" s="14">
        <v>0</v>
      </c>
      <c r="H23" s="14">
        <v>0</v>
      </c>
      <c r="I23" s="14">
        <v>0</v>
      </c>
      <c r="J23" s="14">
        <v>15301</v>
      </c>
      <c r="K23" s="14">
        <v>19807</v>
      </c>
      <c r="L23" s="14">
        <v>35151</v>
      </c>
      <c r="M23" s="14">
        <v>26061</v>
      </c>
      <c r="N23" s="14">
        <v>13473</v>
      </c>
      <c r="O23" s="14">
        <v>13415</v>
      </c>
      <c r="P23" s="14">
        <v>27281</v>
      </c>
      <c r="Q23" s="14">
        <v>29130</v>
      </c>
      <c r="R23" s="14">
        <v>7621</v>
      </c>
      <c r="S23" s="14">
        <v>8319</v>
      </c>
      <c r="T23" s="14">
        <v>16307</v>
      </c>
      <c r="U23" s="14">
        <v>4142</v>
      </c>
      <c r="V23" s="14">
        <v>831</v>
      </c>
      <c r="W23" s="14">
        <v>3423</v>
      </c>
      <c r="X23" s="14">
        <v>22086</v>
      </c>
      <c r="Y23" s="14">
        <v>0</v>
      </c>
      <c r="Z23" s="14">
        <v>0</v>
      </c>
      <c r="AA23" s="14">
        <v>17844</v>
      </c>
      <c r="AB23" s="14">
        <v>32005</v>
      </c>
      <c r="AC23" s="14">
        <v>31571</v>
      </c>
      <c r="AD23" s="14">
        <v>30934</v>
      </c>
      <c r="AE23" s="14">
        <v>31545</v>
      </c>
      <c r="AF23" s="14">
        <v>0</v>
      </c>
    </row>
    <row r="24" spans="1:32">
      <c r="A24" s="1">
        <v>700</v>
      </c>
      <c r="B24" s="11">
        <v>38107</v>
      </c>
      <c r="C24" s="14">
        <v>4387</v>
      </c>
      <c r="D24" s="14">
        <v>8392</v>
      </c>
      <c r="E24" s="14">
        <v>3721</v>
      </c>
      <c r="F24" s="14">
        <v>31097</v>
      </c>
      <c r="G24" s="14">
        <v>721</v>
      </c>
      <c r="H24" s="14">
        <v>0</v>
      </c>
      <c r="I24" s="14">
        <v>0</v>
      </c>
      <c r="J24" s="14">
        <v>12769</v>
      </c>
      <c r="K24" s="14">
        <v>11993</v>
      </c>
      <c r="L24" s="14">
        <v>28268</v>
      </c>
      <c r="M24" s="14">
        <v>21593</v>
      </c>
      <c r="N24" s="14">
        <v>11623</v>
      </c>
      <c r="O24" s="14">
        <v>9679</v>
      </c>
      <c r="P24" s="14">
        <v>25435</v>
      </c>
      <c r="Q24" s="14">
        <v>34897</v>
      </c>
      <c r="R24" s="14">
        <v>6699</v>
      </c>
      <c r="S24" s="14">
        <v>3629</v>
      </c>
      <c r="T24" s="14">
        <v>15701</v>
      </c>
      <c r="U24" s="14">
        <v>6539</v>
      </c>
      <c r="V24" s="14">
        <v>2317</v>
      </c>
      <c r="W24" s="14">
        <v>2974</v>
      </c>
      <c r="X24" s="14">
        <v>17510</v>
      </c>
      <c r="Y24" s="14">
        <v>0</v>
      </c>
      <c r="Z24" s="14">
        <v>0</v>
      </c>
      <c r="AA24" s="14">
        <v>0</v>
      </c>
      <c r="AB24" s="14">
        <v>32731</v>
      </c>
      <c r="AC24" s="14">
        <v>31986</v>
      </c>
      <c r="AD24" s="14">
        <v>26943</v>
      </c>
      <c r="AE24" s="14">
        <v>32278</v>
      </c>
      <c r="AF24" s="14">
        <v>0</v>
      </c>
    </row>
    <row r="25" spans="1:32">
      <c r="A25" s="1">
        <v>731</v>
      </c>
      <c r="B25" s="11">
        <v>38138</v>
      </c>
      <c r="C25" s="14">
        <v>4909</v>
      </c>
      <c r="D25" s="14">
        <v>10566</v>
      </c>
      <c r="E25" s="14">
        <v>2286</v>
      </c>
      <c r="F25" s="14">
        <v>26644</v>
      </c>
      <c r="G25" s="14">
        <v>2744</v>
      </c>
      <c r="H25" s="14">
        <v>0</v>
      </c>
      <c r="I25" s="14">
        <v>0</v>
      </c>
      <c r="J25" s="14">
        <v>12463</v>
      </c>
      <c r="K25" s="14">
        <v>21729</v>
      </c>
      <c r="L25" s="14">
        <v>9475</v>
      </c>
      <c r="M25" s="14">
        <v>20740</v>
      </c>
      <c r="N25" s="14">
        <v>0</v>
      </c>
      <c r="O25" s="14">
        <v>8374</v>
      </c>
      <c r="P25" s="14">
        <v>25866</v>
      </c>
      <c r="Q25" s="14">
        <v>41557</v>
      </c>
      <c r="R25" s="14">
        <v>4862</v>
      </c>
      <c r="S25" s="14">
        <v>4356</v>
      </c>
      <c r="T25" s="14">
        <v>16234</v>
      </c>
      <c r="U25" s="14">
        <v>11515</v>
      </c>
      <c r="V25" s="14">
        <v>6353</v>
      </c>
      <c r="W25" s="14">
        <v>2234</v>
      </c>
      <c r="X25" s="14">
        <v>19231</v>
      </c>
      <c r="Y25" s="14">
        <v>0</v>
      </c>
      <c r="Z25" s="14">
        <v>0</v>
      </c>
      <c r="AA25" s="14">
        <v>0</v>
      </c>
      <c r="AB25" s="14">
        <v>29828</v>
      </c>
      <c r="AC25" s="14">
        <v>30380</v>
      </c>
      <c r="AD25" s="14">
        <v>30191</v>
      </c>
      <c r="AE25" s="14">
        <v>30169</v>
      </c>
      <c r="AF25" s="14">
        <v>0</v>
      </c>
    </row>
    <row r="26" spans="1:32">
      <c r="A26" s="1">
        <v>761</v>
      </c>
      <c r="B26" s="11">
        <v>38168</v>
      </c>
      <c r="C26" s="14">
        <v>6091</v>
      </c>
      <c r="D26" s="14">
        <v>8595</v>
      </c>
      <c r="E26" s="14">
        <v>4766</v>
      </c>
      <c r="F26" s="14">
        <v>27857</v>
      </c>
      <c r="G26" s="14">
        <v>4545</v>
      </c>
      <c r="H26" s="14">
        <v>0</v>
      </c>
      <c r="I26" s="14">
        <v>0</v>
      </c>
      <c r="J26" s="14">
        <v>11446</v>
      </c>
      <c r="K26" s="14">
        <v>18845</v>
      </c>
      <c r="L26" s="14">
        <v>25942</v>
      </c>
      <c r="M26" s="14">
        <v>20038</v>
      </c>
      <c r="N26" s="14">
        <v>9924</v>
      </c>
      <c r="O26" s="14">
        <v>8013</v>
      </c>
      <c r="P26" s="14">
        <v>25032</v>
      </c>
      <c r="Q26" s="14">
        <v>40139</v>
      </c>
      <c r="R26" s="14">
        <v>6867</v>
      </c>
      <c r="S26" s="14">
        <v>8277</v>
      </c>
      <c r="T26" s="14">
        <v>15800</v>
      </c>
      <c r="U26" s="14">
        <v>11125</v>
      </c>
      <c r="V26" s="14">
        <v>257</v>
      </c>
      <c r="W26" s="14">
        <v>2092</v>
      </c>
      <c r="X26" s="14">
        <v>24208</v>
      </c>
      <c r="Y26" s="14">
        <v>0</v>
      </c>
      <c r="Z26" s="14">
        <v>0</v>
      </c>
      <c r="AA26" s="14">
        <v>0</v>
      </c>
      <c r="AB26" s="14">
        <v>30855</v>
      </c>
      <c r="AC26" s="14">
        <v>30704</v>
      </c>
      <c r="AD26" s="14">
        <v>28492</v>
      </c>
      <c r="AE26" s="14">
        <v>27910</v>
      </c>
      <c r="AF26" s="14">
        <v>0</v>
      </c>
    </row>
    <row r="27" spans="1:32">
      <c r="A27" s="1">
        <v>792</v>
      </c>
      <c r="B27" s="11">
        <v>38199</v>
      </c>
      <c r="C27" s="14">
        <v>9922</v>
      </c>
      <c r="D27" s="14">
        <v>6200</v>
      </c>
      <c r="E27" s="14">
        <v>3120</v>
      </c>
      <c r="F27" s="14">
        <v>31406</v>
      </c>
      <c r="G27" s="14">
        <v>4541</v>
      </c>
      <c r="H27" s="14">
        <v>0</v>
      </c>
      <c r="I27" s="14">
        <v>0</v>
      </c>
      <c r="J27" s="14">
        <v>11459</v>
      </c>
      <c r="K27" s="14">
        <v>17436</v>
      </c>
      <c r="L27" s="14">
        <v>31755</v>
      </c>
      <c r="M27" s="14">
        <v>6187</v>
      </c>
      <c r="N27" s="14">
        <v>13331</v>
      </c>
      <c r="O27" s="14">
        <v>8381</v>
      </c>
      <c r="P27" s="14">
        <v>5876</v>
      </c>
      <c r="Q27" s="14">
        <v>25679</v>
      </c>
      <c r="R27" s="14">
        <v>3766</v>
      </c>
      <c r="S27" s="14">
        <v>4989</v>
      </c>
      <c r="T27" s="14">
        <v>12352</v>
      </c>
      <c r="U27" s="14">
        <v>10457</v>
      </c>
      <c r="V27" s="14">
        <v>364</v>
      </c>
      <c r="W27" s="14">
        <v>2240</v>
      </c>
      <c r="X27" s="14">
        <v>21833</v>
      </c>
      <c r="Y27" s="14">
        <v>0</v>
      </c>
      <c r="Z27" s="14">
        <v>0</v>
      </c>
      <c r="AA27" s="14">
        <v>0</v>
      </c>
      <c r="AB27" s="14">
        <v>25142</v>
      </c>
      <c r="AC27" s="14">
        <v>37320</v>
      </c>
      <c r="AD27" s="14">
        <v>25330</v>
      </c>
      <c r="AE27" s="14">
        <v>30993</v>
      </c>
      <c r="AF27" s="14">
        <v>0</v>
      </c>
    </row>
    <row r="28" spans="1:32">
      <c r="A28" s="1">
        <v>823</v>
      </c>
      <c r="B28" s="11">
        <v>38230</v>
      </c>
      <c r="C28" s="14">
        <v>9278</v>
      </c>
      <c r="D28" s="14">
        <v>6314</v>
      </c>
      <c r="E28" s="14">
        <v>2093</v>
      </c>
      <c r="F28" s="14">
        <v>31522</v>
      </c>
      <c r="G28" s="14">
        <v>4471</v>
      </c>
      <c r="H28" s="14">
        <v>0</v>
      </c>
      <c r="I28" s="14">
        <v>0</v>
      </c>
      <c r="J28" s="14">
        <v>10469</v>
      </c>
      <c r="K28" s="14">
        <v>17330</v>
      </c>
      <c r="L28" s="14">
        <v>31756</v>
      </c>
      <c r="M28" s="14">
        <v>3389</v>
      </c>
      <c r="N28" s="14">
        <v>12750</v>
      </c>
      <c r="O28" s="14">
        <v>8391</v>
      </c>
      <c r="P28" s="14">
        <v>2040</v>
      </c>
      <c r="Q28" s="14">
        <v>24342</v>
      </c>
      <c r="R28" s="14">
        <v>2525</v>
      </c>
      <c r="S28" s="14">
        <v>3845</v>
      </c>
      <c r="T28" s="14">
        <v>11480</v>
      </c>
      <c r="U28" s="14">
        <v>10205</v>
      </c>
      <c r="V28" s="14">
        <v>382</v>
      </c>
      <c r="W28" s="14">
        <v>1744</v>
      </c>
      <c r="X28" s="14">
        <v>21219</v>
      </c>
      <c r="Y28" s="14">
        <v>0</v>
      </c>
      <c r="Z28" s="14">
        <v>0</v>
      </c>
      <c r="AA28" s="14">
        <v>0</v>
      </c>
      <c r="AB28" s="14">
        <v>28978</v>
      </c>
      <c r="AC28" s="14">
        <v>37792</v>
      </c>
      <c r="AD28" s="14">
        <v>26792</v>
      </c>
      <c r="AE28" s="14">
        <v>33707</v>
      </c>
      <c r="AF28" s="14">
        <v>0</v>
      </c>
    </row>
    <row r="29" spans="1:32">
      <c r="A29" s="1">
        <v>853</v>
      </c>
      <c r="B29" s="11">
        <v>38260</v>
      </c>
      <c r="C29" s="14">
        <v>7695</v>
      </c>
      <c r="D29" s="14">
        <v>5191</v>
      </c>
      <c r="E29" s="14">
        <v>1826</v>
      </c>
      <c r="F29" s="14">
        <v>30831</v>
      </c>
      <c r="G29" s="14">
        <v>5319</v>
      </c>
      <c r="H29" s="14">
        <v>0</v>
      </c>
      <c r="I29" s="14">
        <v>0</v>
      </c>
      <c r="J29" s="14">
        <v>6532</v>
      </c>
      <c r="K29" s="14">
        <v>12136</v>
      </c>
      <c r="L29" s="14">
        <v>30586</v>
      </c>
      <c r="M29" s="14">
        <v>3323</v>
      </c>
      <c r="N29" s="14">
        <v>10892</v>
      </c>
      <c r="O29" s="14">
        <v>8316</v>
      </c>
      <c r="P29" s="14">
        <v>2155</v>
      </c>
      <c r="Q29" s="14">
        <v>23682</v>
      </c>
      <c r="R29" s="14">
        <v>2512</v>
      </c>
      <c r="S29" s="14">
        <v>3849</v>
      </c>
      <c r="T29" s="14">
        <v>14259</v>
      </c>
      <c r="U29" s="14">
        <v>9889</v>
      </c>
      <c r="V29" s="14">
        <v>199</v>
      </c>
      <c r="W29" s="14">
        <v>2365</v>
      </c>
      <c r="X29" s="14">
        <v>19591</v>
      </c>
      <c r="Y29" s="14">
        <v>0</v>
      </c>
      <c r="Z29" s="14">
        <v>0</v>
      </c>
      <c r="AA29" s="14">
        <v>0</v>
      </c>
      <c r="AB29" s="14">
        <v>23832</v>
      </c>
      <c r="AC29" s="14">
        <v>34482</v>
      </c>
      <c r="AD29" s="14">
        <v>26247</v>
      </c>
      <c r="AE29" s="14">
        <v>29197</v>
      </c>
      <c r="AF29" s="14">
        <v>0</v>
      </c>
    </row>
    <row r="30" spans="1:32">
      <c r="A30" s="1">
        <v>884</v>
      </c>
      <c r="B30" s="11">
        <v>38291</v>
      </c>
      <c r="C30" s="14">
        <v>9156</v>
      </c>
      <c r="D30" s="14">
        <v>4216</v>
      </c>
      <c r="E30" s="14">
        <v>3982</v>
      </c>
      <c r="F30" s="14">
        <v>29523</v>
      </c>
      <c r="G30" s="14">
        <v>4931</v>
      </c>
      <c r="H30" s="14">
        <v>0</v>
      </c>
      <c r="I30" s="14">
        <v>0</v>
      </c>
      <c r="J30" s="14">
        <v>9391</v>
      </c>
      <c r="K30" s="14">
        <v>10315</v>
      </c>
      <c r="L30" s="14">
        <v>31805</v>
      </c>
      <c r="M30" s="14">
        <v>3472</v>
      </c>
      <c r="N30" s="14">
        <v>13407</v>
      </c>
      <c r="O30" s="14">
        <v>8811</v>
      </c>
      <c r="P30" s="14">
        <v>2035</v>
      </c>
      <c r="Q30" s="14">
        <v>23855</v>
      </c>
      <c r="R30" s="14">
        <v>2657</v>
      </c>
      <c r="S30" s="14">
        <v>4199</v>
      </c>
      <c r="T30" s="14">
        <v>17032</v>
      </c>
      <c r="U30" s="14">
        <v>10014</v>
      </c>
      <c r="V30" s="14">
        <v>671</v>
      </c>
      <c r="W30" s="14">
        <v>2618</v>
      </c>
      <c r="X30" s="14">
        <v>18437</v>
      </c>
      <c r="Y30" s="14">
        <v>0</v>
      </c>
      <c r="Z30" s="14">
        <v>0</v>
      </c>
      <c r="AA30" s="14">
        <v>2800</v>
      </c>
      <c r="AB30" s="14">
        <v>26350</v>
      </c>
      <c r="AC30" s="14">
        <v>17566</v>
      </c>
      <c r="AD30" s="14">
        <v>24796</v>
      </c>
      <c r="AE30" s="14">
        <v>24880</v>
      </c>
      <c r="AF30" s="14">
        <v>0</v>
      </c>
    </row>
    <row r="31" spans="1:32">
      <c r="A31" s="1">
        <v>914</v>
      </c>
      <c r="B31" s="11">
        <v>38321</v>
      </c>
      <c r="C31" s="14">
        <v>12235</v>
      </c>
      <c r="D31" s="14">
        <v>3140</v>
      </c>
      <c r="E31" s="14">
        <v>4024</v>
      </c>
      <c r="F31" s="14">
        <v>16544</v>
      </c>
      <c r="G31" s="14">
        <v>4565</v>
      </c>
      <c r="H31" s="14">
        <v>0</v>
      </c>
      <c r="I31" s="14">
        <v>0</v>
      </c>
      <c r="J31" s="14">
        <v>16774</v>
      </c>
      <c r="K31" s="14">
        <v>13776</v>
      </c>
      <c r="L31" s="14">
        <v>9818</v>
      </c>
      <c r="M31" s="14">
        <v>2578</v>
      </c>
      <c r="N31" s="14">
        <v>10791</v>
      </c>
      <c r="O31" s="14">
        <v>4213</v>
      </c>
      <c r="P31" s="14">
        <v>692</v>
      </c>
      <c r="Q31" s="14">
        <v>22856</v>
      </c>
      <c r="R31" s="14">
        <v>2429</v>
      </c>
      <c r="S31" s="14">
        <v>4959</v>
      </c>
      <c r="T31" s="14">
        <v>16236</v>
      </c>
      <c r="U31" s="14">
        <v>9126</v>
      </c>
      <c r="V31" s="14">
        <v>7043</v>
      </c>
      <c r="W31" s="14">
        <v>2443</v>
      </c>
      <c r="X31" s="14">
        <v>18392</v>
      </c>
      <c r="Y31" s="14">
        <v>0</v>
      </c>
      <c r="Z31" s="14">
        <v>0</v>
      </c>
      <c r="AA31" s="14">
        <v>20252</v>
      </c>
      <c r="AB31" s="14">
        <v>25485</v>
      </c>
      <c r="AC31" s="14">
        <v>13458</v>
      </c>
      <c r="AD31" s="14">
        <v>29880</v>
      </c>
      <c r="AE31" s="14">
        <v>29901</v>
      </c>
      <c r="AF31" s="14">
        <v>0</v>
      </c>
    </row>
    <row r="32" spans="1:32">
      <c r="A32" s="1">
        <v>945</v>
      </c>
      <c r="B32" s="11">
        <v>38352</v>
      </c>
      <c r="C32" s="14">
        <v>6396</v>
      </c>
      <c r="D32" s="14">
        <v>5626</v>
      </c>
      <c r="E32" s="14">
        <v>3565</v>
      </c>
      <c r="F32" s="14">
        <v>22488</v>
      </c>
      <c r="G32" s="14">
        <v>4766</v>
      </c>
      <c r="H32" s="14">
        <v>0</v>
      </c>
      <c r="I32" s="14">
        <v>0</v>
      </c>
      <c r="J32" s="14">
        <v>14638</v>
      </c>
      <c r="K32" s="14">
        <v>14399</v>
      </c>
      <c r="L32" s="14">
        <v>5050</v>
      </c>
      <c r="M32" s="14">
        <v>3515</v>
      </c>
      <c r="N32" s="14">
        <v>1900</v>
      </c>
      <c r="O32" s="14">
        <v>3572</v>
      </c>
      <c r="P32" s="14">
        <v>2567</v>
      </c>
      <c r="Q32" s="14">
        <v>19317</v>
      </c>
      <c r="R32" s="14">
        <v>2487</v>
      </c>
      <c r="S32" s="14">
        <v>5249</v>
      </c>
      <c r="T32" s="14">
        <v>14863</v>
      </c>
      <c r="U32" s="14">
        <v>3849</v>
      </c>
      <c r="V32" s="14">
        <v>8848</v>
      </c>
      <c r="W32" s="14">
        <v>2505</v>
      </c>
      <c r="X32" s="14">
        <v>21177</v>
      </c>
      <c r="Y32" s="14">
        <v>0</v>
      </c>
      <c r="Z32" s="14">
        <v>0</v>
      </c>
      <c r="AA32" s="14">
        <v>32874</v>
      </c>
      <c r="AB32" s="14">
        <v>22230</v>
      </c>
      <c r="AC32" s="14">
        <v>19659</v>
      </c>
      <c r="AD32" s="14">
        <v>27852</v>
      </c>
      <c r="AE32" s="14">
        <v>27283</v>
      </c>
      <c r="AF32" s="14">
        <v>0</v>
      </c>
    </row>
    <row r="33" spans="1:32">
      <c r="A33" s="1">
        <v>976</v>
      </c>
      <c r="B33" s="11">
        <v>38383</v>
      </c>
      <c r="C33" s="14">
        <v>5465</v>
      </c>
      <c r="D33" s="14">
        <v>6433</v>
      </c>
      <c r="E33" s="14">
        <v>2821</v>
      </c>
      <c r="F33" s="14">
        <v>31971</v>
      </c>
      <c r="G33" s="14">
        <v>4912</v>
      </c>
      <c r="H33" s="14">
        <v>0</v>
      </c>
      <c r="I33" s="14">
        <v>0</v>
      </c>
      <c r="J33" s="14">
        <v>12570</v>
      </c>
      <c r="K33" s="14">
        <v>14956</v>
      </c>
      <c r="L33" s="14">
        <v>5051</v>
      </c>
      <c r="M33" s="14">
        <v>3571</v>
      </c>
      <c r="N33" s="14">
        <v>1935</v>
      </c>
      <c r="O33" s="14">
        <v>3639</v>
      </c>
      <c r="P33" s="14">
        <v>2799</v>
      </c>
      <c r="Q33" s="14">
        <v>15115</v>
      </c>
      <c r="R33" s="14">
        <v>2548</v>
      </c>
      <c r="S33" s="14">
        <v>5516</v>
      </c>
      <c r="T33" s="14">
        <v>14230</v>
      </c>
      <c r="U33" s="14">
        <v>4639</v>
      </c>
      <c r="V33" s="14">
        <v>9224</v>
      </c>
      <c r="W33" s="14">
        <v>2717</v>
      </c>
      <c r="X33" s="14">
        <v>21205</v>
      </c>
      <c r="Y33" s="14">
        <v>0</v>
      </c>
      <c r="Z33" s="14">
        <v>0</v>
      </c>
      <c r="AA33" s="14">
        <v>33980</v>
      </c>
      <c r="AB33" s="14">
        <v>25946</v>
      </c>
      <c r="AC33" s="14">
        <v>24033</v>
      </c>
      <c r="AD33" s="14">
        <v>28068</v>
      </c>
      <c r="AE33" s="14">
        <v>34719</v>
      </c>
      <c r="AF33" s="14">
        <v>0</v>
      </c>
    </row>
    <row r="34" spans="1:32">
      <c r="A34" s="1">
        <v>1004</v>
      </c>
      <c r="B34" s="11">
        <v>38411</v>
      </c>
      <c r="C34" s="14">
        <v>5069</v>
      </c>
      <c r="D34" s="14">
        <v>4833</v>
      </c>
      <c r="E34" s="14">
        <v>2652</v>
      </c>
      <c r="F34" s="14">
        <v>29167</v>
      </c>
      <c r="G34" s="14">
        <v>4546</v>
      </c>
      <c r="H34" s="14">
        <v>0</v>
      </c>
      <c r="I34" s="14">
        <v>0</v>
      </c>
      <c r="J34" s="14">
        <v>10834</v>
      </c>
      <c r="K34" s="14">
        <v>7833</v>
      </c>
      <c r="L34" s="14">
        <v>4732</v>
      </c>
      <c r="M34" s="14">
        <v>3415</v>
      </c>
      <c r="N34" s="14">
        <v>219</v>
      </c>
      <c r="O34" s="14">
        <v>3667</v>
      </c>
      <c r="P34" s="14">
        <v>18531</v>
      </c>
      <c r="Q34" s="14">
        <v>4155</v>
      </c>
      <c r="R34" s="14">
        <v>2341</v>
      </c>
      <c r="S34" s="14">
        <v>4630</v>
      </c>
      <c r="T34" s="14">
        <v>16746</v>
      </c>
      <c r="U34" s="14">
        <v>5776</v>
      </c>
      <c r="V34" s="14">
        <v>8542</v>
      </c>
      <c r="W34" s="14">
        <v>2573</v>
      </c>
      <c r="X34" s="14">
        <v>19779</v>
      </c>
      <c r="Y34" s="14">
        <v>0</v>
      </c>
      <c r="Z34" s="14">
        <v>0</v>
      </c>
      <c r="AA34" s="14">
        <v>24615</v>
      </c>
      <c r="AB34" s="14">
        <v>25982</v>
      </c>
      <c r="AC34" s="14">
        <v>23770</v>
      </c>
      <c r="AD34" s="14">
        <v>26544</v>
      </c>
      <c r="AE34" s="14">
        <v>18562</v>
      </c>
      <c r="AF34" s="14">
        <v>0</v>
      </c>
    </row>
    <row r="35" spans="1:32">
      <c r="A35" s="1">
        <v>1035</v>
      </c>
      <c r="B35" s="11">
        <v>38442</v>
      </c>
      <c r="C35" s="14">
        <v>5349</v>
      </c>
      <c r="D35" s="14">
        <v>3723</v>
      </c>
      <c r="E35" s="14">
        <v>2913</v>
      </c>
      <c r="F35" s="14">
        <v>32292</v>
      </c>
      <c r="G35" s="14">
        <v>5059</v>
      </c>
      <c r="H35" s="14">
        <v>0</v>
      </c>
      <c r="I35" s="14">
        <v>0</v>
      </c>
      <c r="J35" s="14">
        <v>10276</v>
      </c>
      <c r="K35" s="14">
        <v>15169</v>
      </c>
      <c r="L35" s="14">
        <v>14618</v>
      </c>
      <c r="M35" s="14">
        <v>13311</v>
      </c>
      <c r="N35" s="14">
        <v>0</v>
      </c>
      <c r="O35" s="14">
        <v>11344</v>
      </c>
      <c r="P35" s="14">
        <v>30696</v>
      </c>
      <c r="Q35" s="14">
        <v>9847</v>
      </c>
      <c r="R35" s="14">
        <v>2444</v>
      </c>
      <c r="S35" s="14">
        <v>1996</v>
      </c>
      <c r="T35" s="14">
        <v>16984</v>
      </c>
      <c r="U35" s="14">
        <v>0</v>
      </c>
      <c r="V35" s="14">
        <v>7185</v>
      </c>
      <c r="W35" s="14">
        <v>10930</v>
      </c>
      <c r="X35" s="14">
        <v>23209</v>
      </c>
      <c r="Y35" s="14">
        <v>0</v>
      </c>
      <c r="Z35" s="14">
        <v>0</v>
      </c>
      <c r="AA35" s="14">
        <v>13894</v>
      </c>
      <c r="AB35" s="14">
        <v>34484</v>
      </c>
      <c r="AC35" s="14">
        <v>32163</v>
      </c>
      <c r="AD35" s="14">
        <v>25727</v>
      </c>
      <c r="AE35" s="14">
        <v>30126</v>
      </c>
      <c r="AF35" s="14">
        <v>0</v>
      </c>
    </row>
    <row r="36" spans="1:32">
      <c r="A36" s="1">
        <v>1065</v>
      </c>
      <c r="B36" s="11">
        <v>38472</v>
      </c>
      <c r="C36" s="14">
        <v>8467</v>
      </c>
      <c r="D36" s="14">
        <v>4204</v>
      </c>
      <c r="E36" s="14">
        <v>3285</v>
      </c>
      <c r="F36" s="14">
        <v>31251</v>
      </c>
      <c r="G36" s="14">
        <v>4356</v>
      </c>
      <c r="H36" s="14">
        <v>0</v>
      </c>
      <c r="I36" s="14">
        <v>0</v>
      </c>
      <c r="J36" s="14">
        <v>8673</v>
      </c>
      <c r="K36" s="14">
        <v>14045</v>
      </c>
      <c r="L36" s="14">
        <v>10854</v>
      </c>
      <c r="M36" s="14">
        <v>9845</v>
      </c>
      <c r="N36" s="14">
        <v>1027</v>
      </c>
      <c r="O36" s="14">
        <v>6868</v>
      </c>
      <c r="P36" s="14">
        <v>14659</v>
      </c>
      <c r="Q36" s="14">
        <v>5756</v>
      </c>
      <c r="R36" s="14">
        <v>1346</v>
      </c>
      <c r="S36" s="14">
        <v>1486</v>
      </c>
      <c r="T36" s="14">
        <v>13615</v>
      </c>
      <c r="U36" s="14">
        <v>3311</v>
      </c>
      <c r="V36" s="14">
        <v>7723</v>
      </c>
      <c r="W36" s="14">
        <v>4122</v>
      </c>
      <c r="X36" s="14">
        <v>21959</v>
      </c>
      <c r="Y36" s="14">
        <v>0</v>
      </c>
      <c r="Z36" s="14">
        <v>0</v>
      </c>
      <c r="AA36" s="14">
        <v>22318</v>
      </c>
      <c r="AB36" s="14">
        <v>28253</v>
      </c>
      <c r="AC36" s="14">
        <v>27671</v>
      </c>
      <c r="AD36" s="14">
        <v>29420</v>
      </c>
      <c r="AE36" s="14">
        <v>29008</v>
      </c>
      <c r="AF36" s="14">
        <v>0</v>
      </c>
    </row>
    <row r="37" spans="1:32">
      <c r="A37" s="1">
        <v>1096</v>
      </c>
      <c r="B37" s="11">
        <v>38503</v>
      </c>
      <c r="C37" s="14">
        <v>9955</v>
      </c>
      <c r="D37" s="14">
        <v>5705</v>
      </c>
      <c r="E37" s="14">
        <v>3195</v>
      </c>
      <c r="F37" s="14">
        <v>35607</v>
      </c>
      <c r="G37" s="14">
        <v>4212</v>
      </c>
      <c r="H37" s="14">
        <v>0</v>
      </c>
      <c r="I37" s="14">
        <v>0</v>
      </c>
      <c r="J37" s="14">
        <v>8313</v>
      </c>
      <c r="K37" s="14">
        <v>14511</v>
      </c>
      <c r="L37" s="14">
        <v>4939</v>
      </c>
      <c r="M37" s="14">
        <v>9804</v>
      </c>
      <c r="N37" s="14">
        <v>4128</v>
      </c>
      <c r="O37" s="14">
        <v>6058</v>
      </c>
      <c r="P37" s="14">
        <v>30608</v>
      </c>
      <c r="Q37" s="14">
        <v>10901</v>
      </c>
      <c r="R37" s="14">
        <v>1951</v>
      </c>
      <c r="S37" s="14">
        <v>12855</v>
      </c>
      <c r="T37" s="14">
        <v>14302</v>
      </c>
      <c r="U37" s="14">
        <v>7058</v>
      </c>
      <c r="V37" s="14">
        <v>8505</v>
      </c>
      <c r="W37" s="14">
        <v>3281</v>
      </c>
      <c r="X37" s="14">
        <v>20195</v>
      </c>
      <c r="Y37" s="14">
        <v>0</v>
      </c>
      <c r="Z37" s="14">
        <v>0</v>
      </c>
      <c r="AA37" s="14">
        <v>30803</v>
      </c>
      <c r="AB37" s="14">
        <v>29593</v>
      </c>
      <c r="AC37" s="14">
        <v>30271</v>
      </c>
      <c r="AD37" s="14">
        <v>31099</v>
      </c>
      <c r="AE37" s="14">
        <v>30428</v>
      </c>
      <c r="AF37" s="14">
        <v>0</v>
      </c>
    </row>
    <row r="38" spans="1:32">
      <c r="A38" s="1">
        <v>1126</v>
      </c>
      <c r="B38" s="11">
        <v>38533</v>
      </c>
      <c r="C38" s="14">
        <v>10717</v>
      </c>
      <c r="D38" s="14">
        <v>4879</v>
      </c>
      <c r="E38" s="14">
        <v>3162</v>
      </c>
      <c r="F38" s="14">
        <v>33643</v>
      </c>
      <c r="G38" s="14">
        <v>11833</v>
      </c>
      <c r="H38" s="14">
        <v>0</v>
      </c>
      <c r="I38" s="14">
        <v>0</v>
      </c>
      <c r="J38" s="14">
        <v>7595</v>
      </c>
      <c r="K38" s="14">
        <v>17488</v>
      </c>
      <c r="L38" s="14">
        <v>10511</v>
      </c>
      <c r="M38" s="14">
        <v>9984</v>
      </c>
      <c r="N38" s="14">
        <v>7876</v>
      </c>
      <c r="O38" s="14">
        <v>4215</v>
      </c>
      <c r="P38" s="14">
        <v>28376</v>
      </c>
      <c r="Q38" s="14">
        <v>7739</v>
      </c>
      <c r="R38" s="14">
        <v>2048</v>
      </c>
      <c r="S38" s="14">
        <v>13033</v>
      </c>
      <c r="T38" s="14">
        <v>14955</v>
      </c>
      <c r="U38" s="14">
        <v>4529</v>
      </c>
      <c r="V38" s="14">
        <v>8432</v>
      </c>
      <c r="W38" s="14">
        <v>717</v>
      </c>
      <c r="X38" s="14">
        <v>19730</v>
      </c>
      <c r="Y38" s="14">
        <v>0</v>
      </c>
      <c r="Z38" s="14">
        <v>0</v>
      </c>
      <c r="AA38" s="14">
        <v>30072</v>
      </c>
      <c r="AB38" s="14">
        <v>30178</v>
      </c>
      <c r="AC38" s="14">
        <v>30128</v>
      </c>
      <c r="AD38" s="14">
        <v>29702</v>
      </c>
      <c r="AE38" s="14">
        <v>29885</v>
      </c>
      <c r="AF38" s="14">
        <v>0</v>
      </c>
    </row>
    <row r="39" spans="1:32">
      <c r="A39" s="1">
        <v>1157</v>
      </c>
      <c r="B39" s="11">
        <v>38564</v>
      </c>
      <c r="C39" s="14">
        <v>8994</v>
      </c>
      <c r="D39" s="14">
        <v>4521</v>
      </c>
      <c r="E39" s="14">
        <v>3178</v>
      </c>
      <c r="F39" s="14">
        <v>32579</v>
      </c>
      <c r="G39" s="14">
        <v>10788</v>
      </c>
      <c r="H39" s="14">
        <v>0</v>
      </c>
      <c r="I39" s="14">
        <v>0</v>
      </c>
      <c r="J39" s="14">
        <v>9730</v>
      </c>
      <c r="K39" s="14">
        <v>14544</v>
      </c>
      <c r="L39" s="14">
        <v>13026</v>
      </c>
      <c r="M39" s="14">
        <v>9687</v>
      </c>
      <c r="N39" s="14">
        <v>7434</v>
      </c>
      <c r="O39" s="14">
        <v>4316</v>
      </c>
      <c r="P39" s="14">
        <v>6782</v>
      </c>
      <c r="Q39" s="14">
        <v>9484</v>
      </c>
      <c r="R39" s="14">
        <v>2442</v>
      </c>
      <c r="S39" s="14">
        <v>13377</v>
      </c>
      <c r="T39" s="14">
        <v>14599</v>
      </c>
      <c r="U39" s="14">
        <v>0</v>
      </c>
      <c r="V39" s="14">
        <v>8793</v>
      </c>
      <c r="W39" s="14">
        <v>923</v>
      </c>
      <c r="X39" s="14">
        <v>0</v>
      </c>
      <c r="Y39" s="14">
        <v>0</v>
      </c>
      <c r="Z39" s="14">
        <v>0</v>
      </c>
      <c r="AA39" s="14">
        <v>30936</v>
      </c>
      <c r="AB39" s="14">
        <v>22885</v>
      </c>
      <c r="AC39" s="14">
        <v>22865</v>
      </c>
      <c r="AD39" s="14">
        <v>30548</v>
      </c>
      <c r="AE39" s="14">
        <v>30180</v>
      </c>
      <c r="AF39" s="14">
        <v>0</v>
      </c>
    </row>
    <row r="40" spans="1:32">
      <c r="A40" s="1">
        <v>1188</v>
      </c>
      <c r="B40" s="11">
        <v>38595</v>
      </c>
      <c r="C40" s="14">
        <v>7597</v>
      </c>
      <c r="D40" s="14">
        <v>3558</v>
      </c>
      <c r="E40" s="14">
        <v>385</v>
      </c>
      <c r="F40" s="14">
        <v>31988</v>
      </c>
      <c r="G40" s="14">
        <v>10920</v>
      </c>
      <c r="H40" s="14">
        <v>0</v>
      </c>
      <c r="I40" s="14">
        <v>0</v>
      </c>
      <c r="J40" s="14">
        <v>9756</v>
      </c>
      <c r="K40" s="14">
        <v>14443</v>
      </c>
      <c r="L40" s="14">
        <v>13070</v>
      </c>
      <c r="M40" s="14">
        <v>8512</v>
      </c>
      <c r="N40" s="14">
        <v>5730</v>
      </c>
      <c r="O40" s="14">
        <v>4704</v>
      </c>
      <c r="P40" s="14">
        <v>74</v>
      </c>
      <c r="Q40" s="14">
        <v>12062</v>
      </c>
      <c r="R40" s="14">
        <v>236</v>
      </c>
      <c r="S40" s="14">
        <v>1098</v>
      </c>
      <c r="T40" s="14">
        <v>12450</v>
      </c>
      <c r="U40" s="14">
        <v>0</v>
      </c>
      <c r="V40" s="14">
        <v>9559</v>
      </c>
      <c r="W40" s="14">
        <v>1102</v>
      </c>
      <c r="X40" s="14">
        <v>0</v>
      </c>
      <c r="Y40" s="14">
        <v>0</v>
      </c>
      <c r="Z40" s="14">
        <v>0</v>
      </c>
      <c r="AA40" s="14">
        <v>30630</v>
      </c>
      <c r="AB40" s="14">
        <v>0</v>
      </c>
      <c r="AC40" s="14">
        <v>0</v>
      </c>
      <c r="AD40" s="14">
        <v>27707</v>
      </c>
      <c r="AE40" s="14">
        <v>26951</v>
      </c>
      <c r="AF40" s="14">
        <v>0</v>
      </c>
    </row>
    <row r="41" spans="1:32">
      <c r="A41" s="1">
        <v>1218</v>
      </c>
      <c r="B41" s="11">
        <v>38625</v>
      </c>
      <c r="C41" s="14">
        <v>5465</v>
      </c>
      <c r="D41" s="14">
        <v>7143</v>
      </c>
      <c r="E41" s="14">
        <v>0</v>
      </c>
      <c r="F41" s="14">
        <v>31215</v>
      </c>
      <c r="G41" s="14">
        <v>7306</v>
      </c>
      <c r="H41" s="14">
        <v>0</v>
      </c>
      <c r="I41" s="14">
        <v>0</v>
      </c>
      <c r="J41" s="14">
        <v>9433</v>
      </c>
      <c r="K41" s="14">
        <v>15416</v>
      </c>
      <c r="L41" s="14">
        <v>12631</v>
      </c>
      <c r="M41" s="14">
        <v>8134</v>
      </c>
      <c r="N41" s="14">
        <v>5519</v>
      </c>
      <c r="O41" s="14">
        <v>3997</v>
      </c>
      <c r="P41" s="14">
        <v>0</v>
      </c>
      <c r="Q41" s="14">
        <v>9566</v>
      </c>
      <c r="R41" s="14">
        <v>925</v>
      </c>
      <c r="S41" s="14">
        <v>989</v>
      </c>
      <c r="T41" s="14">
        <v>9216</v>
      </c>
      <c r="U41" s="14">
        <v>0</v>
      </c>
      <c r="V41" s="14">
        <v>7896</v>
      </c>
      <c r="W41" s="14">
        <v>1203</v>
      </c>
      <c r="X41" s="14">
        <v>0</v>
      </c>
      <c r="Y41" s="14">
        <v>0</v>
      </c>
      <c r="Z41" s="14">
        <v>0</v>
      </c>
      <c r="AA41" s="14">
        <v>17408</v>
      </c>
      <c r="AB41" s="14">
        <v>0</v>
      </c>
      <c r="AC41" s="14">
        <v>0</v>
      </c>
      <c r="AD41" s="14">
        <v>19019</v>
      </c>
      <c r="AE41" s="14">
        <v>709</v>
      </c>
      <c r="AF41" s="14">
        <v>0</v>
      </c>
    </row>
    <row r="42" spans="1:32">
      <c r="A42" s="1">
        <v>1249</v>
      </c>
      <c r="B42" s="11">
        <v>38656</v>
      </c>
      <c r="C42" s="14">
        <v>3893</v>
      </c>
      <c r="D42" s="14">
        <v>7375</v>
      </c>
      <c r="E42" s="14">
        <v>0</v>
      </c>
      <c r="F42" s="14">
        <v>32935</v>
      </c>
      <c r="G42" s="14">
        <v>8099</v>
      </c>
      <c r="H42" s="14">
        <v>0</v>
      </c>
      <c r="I42" s="14">
        <v>0</v>
      </c>
      <c r="J42" s="14">
        <v>9739</v>
      </c>
      <c r="K42" s="14">
        <v>15240</v>
      </c>
      <c r="L42" s="14">
        <v>7154</v>
      </c>
      <c r="M42" s="14">
        <v>8173</v>
      </c>
      <c r="N42" s="14">
        <v>5564</v>
      </c>
      <c r="O42" s="14">
        <v>6248</v>
      </c>
      <c r="P42" s="14">
        <v>0</v>
      </c>
      <c r="Q42" s="14">
        <v>9874</v>
      </c>
      <c r="R42" s="14">
        <v>43</v>
      </c>
      <c r="S42" s="14">
        <v>547</v>
      </c>
      <c r="T42" s="14">
        <v>7433</v>
      </c>
      <c r="U42" s="14">
        <v>0</v>
      </c>
      <c r="V42" s="14">
        <v>5313</v>
      </c>
      <c r="W42" s="14">
        <v>2584</v>
      </c>
      <c r="X42" s="14">
        <v>0</v>
      </c>
      <c r="Y42" s="14">
        <v>0</v>
      </c>
      <c r="Z42" s="14">
        <v>0</v>
      </c>
      <c r="AA42" s="14">
        <v>6754</v>
      </c>
      <c r="AB42" s="14">
        <v>41117</v>
      </c>
      <c r="AC42" s="14">
        <v>30813</v>
      </c>
      <c r="AD42" s="14">
        <v>22363</v>
      </c>
      <c r="AE42" s="14">
        <v>0</v>
      </c>
      <c r="AF42" s="14">
        <v>0</v>
      </c>
    </row>
    <row r="43" spans="1:32">
      <c r="A43" s="1">
        <v>1279</v>
      </c>
      <c r="B43" s="11">
        <v>38686</v>
      </c>
      <c r="C43" s="14">
        <v>4829</v>
      </c>
      <c r="D43" s="14">
        <v>7583</v>
      </c>
      <c r="E43" s="14">
        <v>0</v>
      </c>
      <c r="F43" s="14">
        <v>32151</v>
      </c>
      <c r="G43" s="14">
        <v>8301</v>
      </c>
      <c r="H43" s="14">
        <v>0</v>
      </c>
      <c r="I43" s="14">
        <v>0</v>
      </c>
      <c r="J43" s="14">
        <v>9434</v>
      </c>
      <c r="K43" s="14">
        <v>3181</v>
      </c>
      <c r="L43" s="14">
        <v>3422</v>
      </c>
      <c r="M43" s="14">
        <v>7426</v>
      </c>
      <c r="N43" s="14">
        <v>5310</v>
      </c>
      <c r="O43" s="14">
        <v>8656</v>
      </c>
      <c r="P43" s="14">
        <v>0</v>
      </c>
      <c r="Q43" s="14">
        <v>8342</v>
      </c>
      <c r="R43" s="14">
        <v>847</v>
      </c>
      <c r="S43" s="14">
        <v>2029</v>
      </c>
      <c r="T43" s="14">
        <v>5966</v>
      </c>
      <c r="U43" s="14">
        <v>0</v>
      </c>
      <c r="V43" s="14">
        <v>5161</v>
      </c>
      <c r="W43" s="14">
        <v>2379</v>
      </c>
      <c r="X43" s="14">
        <v>0</v>
      </c>
      <c r="Y43" s="14">
        <v>0</v>
      </c>
      <c r="Z43" s="14">
        <v>0</v>
      </c>
      <c r="AA43" s="14">
        <v>346</v>
      </c>
      <c r="AB43" s="14">
        <v>17463</v>
      </c>
      <c r="AC43" s="14">
        <v>22351</v>
      </c>
      <c r="AD43" s="14">
        <v>31223</v>
      </c>
      <c r="AE43" s="14">
        <v>12079</v>
      </c>
      <c r="AF43" s="14">
        <v>0</v>
      </c>
    </row>
    <row r="44" spans="1:32">
      <c r="A44" s="1">
        <v>1310</v>
      </c>
      <c r="B44" s="11">
        <v>38717</v>
      </c>
      <c r="C44" s="14">
        <v>5299</v>
      </c>
      <c r="D44" s="14">
        <v>10975</v>
      </c>
      <c r="E44" s="14">
        <v>0</v>
      </c>
      <c r="F44" s="14">
        <v>33426</v>
      </c>
      <c r="G44" s="14">
        <v>698</v>
      </c>
      <c r="H44" s="14">
        <v>0</v>
      </c>
      <c r="I44" s="14">
        <v>0</v>
      </c>
      <c r="J44" s="14">
        <v>4599</v>
      </c>
      <c r="K44" s="14">
        <v>0</v>
      </c>
      <c r="L44" s="14">
        <v>0</v>
      </c>
      <c r="M44" s="14">
        <v>0</v>
      </c>
      <c r="N44" s="14">
        <v>5481</v>
      </c>
      <c r="O44" s="14">
        <v>8980</v>
      </c>
      <c r="P44" s="14">
        <v>0</v>
      </c>
      <c r="Q44" s="14">
        <v>12567</v>
      </c>
      <c r="R44" s="14">
        <v>165</v>
      </c>
      <c r="S44" s="14">
        <v>2515</v>
      </c>
      <c r="T44" s="14">
        <v>4878</v>
      </c>
      <c r="U44" s="14">
        <v>0</v>
      </c>
      <c r="V44" s="14">
        <v>3142</v>
      </c>
      <c r="W44" s="14">
        <v>2380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19019</v>
      </c>
      <c r="AE44" s="14">
        <v>7334</v>
      </c>
      <c r="AF44" s="14">
        <v>0</v>
      </c>
    </row>
    <row r="45" spans="1:32">
      <c r="A45" s="1">
        <v>1341</v>
      </c>
      <c r="B45" s="11">
        <v>38748</v>
      </c>
      <c r="C45" s="14">
        <v>11760</v>
      </c>
      <c r="D45" s="14">
        <v>19466</v>
      </c>
      <c r="E45" s="14">
        <v>0</v>
      </c>
      <c r="F45" s="14">
        <v>20754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5490</v>
      </c>
      <c r="O45" s="14">
        <v>8991</v>
      </c>
      <c r="P45" s="14">
        <v>0</v>
      </c>
      <c r="Q45" s="14">
        <v>11988</v>
      </c>
      <c r="R45" s="14">
        <v>0</v>
      </c>
      <c r="S45" s="14">
        <v>3315</v>
      </c>
      <c r="T45" s="14">
        <v>4885</v>
      </c>
      <c r="U45" s="14">
        <v>0</v>
      </c>
      <c r="V45" s="14">
        <v>4483</v>
      </c>
      <c r="W45" s="14">
        <v>1440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27663</v>
      </c>
      <c r="AE45" s="14">
        <v>25305</v>
      </c>
      <c r="AF45" s="14">
        <v>25684</v>
      </c>
    </row>
    <row r="46" spans="1:32">
      <c r="A46" s="1">
        <v>1369</v>
      </c>
      <c r="B46" s="11">
        <v>38776</v>
      </c>
      <c r="C46" s="14">
        <v>10945</v>
      </c>
      <c r="D46" s="14">
        <v>14512</v>
      </c>
      <c r="E46" s="14">
        <v>0</v>
      </c>
      <c r="F46" s="14">
        <v>10671</v>
      </c>
      <c r="G46" s="14">
        <v>1385</v>
      </c>
      <c r="H46" s="14">
        <v>0</v>
      </c>
      <c r="I46" s="14">
        <v>0</v>
      </c>
      <c r="J46" s="14">
        <v>2419</v>
      </c>
      <c r="K46" s="14">
        <v>10377</v>
      </c>
      <c r="L46" s="14">
        <v>0</v>
      </c>
      <c r="M46" s="14">
        <v>334</v>
      </c>
      <c r="N46" s="14">
        <v>4562</v>
      </c>
      <c r="O46" s="14">
        <v>5774</v>
      </c>
      <c r="P46" s="14">
        <v>0</v>
      </c>
      <c r="Q46" s="14">
        <v>11032</v>
      </c>
      <c r="R46" s="14">
        <v>1187</v>
      </c>
      <c r="S46" s="14">
        <v>7950</v>
      </c>
      <c r="T46" s="14">
        <v>4054</v>
      </c>
      <c r="U46" s="14">
        <v>0</v>
      </c>
      <c r="V46" s="14">
        <v>5190</v>
      </c>
      <c r="W46" s="14">
        <v>3784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</row>
    <row r="47" spans="1:32">
      <c r="A47" s="1">
        <v>1400</v>
      </c>
      <c r="B47" s="11">
        <v>38807</v>
      </c>
      <c r="C47" s="14">
        <v>5591</v>
      </c>
      <c r="D47" s="14">
        <v>6984</v>
      </c>
      <c r="E47" s="14">
        <v>0</v>
      </c>
      <c r="F47" s="14">
        <v>15898</v>
      </c>
      <c r="G47" s="14">
        <v>543</v>
      </c>
      <c r="H47" s="14">
        <v>0</v>
      </c>
      <c r="I47" s="14">
        <v>0</v>
      </c>
      <c r="J47" s="14">
        <v>0</v>
      </c>
      <c r="K47" s="14">
        <v>5474</v>
      </c>
      <c r="L47" s="14">
        <v>7244</v>
      </c>
      <c r="M47" s="14">
        <v>12789</v>
      </c>
      <c r="N47" s="14">
        <v>5746</v>
      </c>
      <c r="O47" s="14">
        <v>2837</v>
      </c>
      <c r="P47" s="14">
        <v>6385</v>
      </c>
      <c r="Q47" s="14">
        <v>5307</v>
      </c>
      <c r="R47" s="14">
        <v>492</v>
      </c>
      <c r="S47" s="14">
        <v>8261</v>
      </c>
      <c r="T47" s="14">
        <v>3760</v>
      </c>
      <c r="U47" s="14">
        <v>0</v>
      </c>
      <c r="V47" s="14">
        <v>4887</v>
      </c>
      <c r="W47" s="14">
        <v>5736</v>
      </c>
      <c r="X47" s="14">
        <v>0</v>
      </c>
      <c r="Y47" s="14">
        <v>0</v>
      </c>
      <c r="Z47" s="14">
        <v>0</v>
      </c>
      <c r="AA47" s="14">
        <v>0</v>
      </c>
      <c r="AB47" s="14">
        <v>3335</v>
      </c>
      <c r="AC47" s="14">
        <v>3376</v>
      </c>
      <c r="AD47" s="14">
        <v>3339</v>
      </c>
      <c r="AE47" s="14">
        <v>3363</v>
      </c>
      <c r="AF47" s="14">
        <v>3333</v>
      </c>
    </row>
    <row r="48" spans="1:32">
      <c r="A48" s="1">
        <v>1430</v>
      </c>
      <c r="B48" s="11">
        <v>38837</v>
      </c>
      <c r="C48" s="14">
        <v>0</v>
      </c>
      <c r="D48" s="14">
        <v>6462</v>
      </c>
      <c r="E48" s="14">
        <v>1307</v>
      </c>
      <c r="F48" s="14">
        <v>10276</v>
      </c>
      <c r="G48" s="14">
        <v>1779</v>
      </c>
      <c r="H48" s="14">
        <v>0</v>
      </c>
      <c r="I48" s="14">
        <v>0</v>
      </c>
      <c r="J48" s="14">
        <v>0</v>
      </c>
      <c r="K48" s="14">
        <v>17331</v>
      </c>
      <c r="L48" s="14">
        <v>2370</v>
      </c>
      <c r="M48" s="14">
        <v>3665</v>
      </c>
      <c r="N48" s="14">
        <v>5463</v>
      </c>
      <c r="O48" s="14">
        <v>2072</v>
      </c>
      <c r="P48" s="14">
        <v>18945</v>
      </c>
      <c r="Q48" s="14">
        <v>4692</v>
      </c>
      <c r="R48" s="14">
        <v>2869</v>
      </c>
      <c r="S48" s="14">
        <v>4872</v>
      </c>
      <c r="T48" s="14">
        <v>2243</v>
      </c>
      <c r="U48" s="14">
        <v>1752</v>
      </c>
      <c r="V48" s="14">
        <v>1951</v>
      </c>
      <c r="W48" s="14">
        <v>1773</v>
      </c>
      <c r="X48" s="14">
        <v>0</v>
      </c>
      <c r="Y48" s="14">
        <v>0</v>
      </c>
      <c r="Z48" s="14">
        <v>0</v>
      </c>
      <c r="AA48" s="14">
        <v>22438</v>
      </c>
      <c r="AB48" s="14">
        <v>29822</v>
      </c>
      <c r="AC48" s="14">
        <v>29528</v>
      </c>
      <c r="AD48" s="14">
        <v>30346</v>
      </c>
      <c r="AE48" s="14">
        <v>30684</v>
      </c>
      <c r="AF48" s="14">
        <v>31711</v>
      </c>
    </row>
    <row r="49" spans="1:32">
      <c r="A49" s="1">
        <v>1461</v>
      </c>
      <c r="B49" s="11">
        <v>38868</v>
      </c>
      <c r="C49" s="14">
        <v>3762</v>
      </c>
      <c r="D49" s="14">
        <v>7100</v>
      </c>
      <c r="E49" s="14">
        <v>1905</v>
      </c>
      <c r="F49" s="14">
        <v>11799</v>
      </c>
      <c r="G49" s="14">
        <v>7550</v>
      </c>
      <c r="H49" s="14">
        <v>0</v>
      </c>
      <c r="I49" s="14">
        <v>0</v>
      </c>
      <c r="J49" s="14">
        <v>4720</v>
      </c>
      <c r="K49" s="14">
        <v>19460</v>
      </c>
      <c r="L49" s="14">
        <v>61</v>
      </c>
      <c r="M49" s="14">
        <v>3147</v>
      </c>
      <c r="N49" s="14">
        <v>3521</v>
      </c>
      <c r="O49" s="14">
        <v>1339</v>
      </c>
      <c r="P49" s="14">
        <v>28254</v>
      </c>
      <c r="Q49" s="14">
        <v>3157</v>
      </c>
      <c r="R49" s="14">
        <v>2420</v>
      </c>
      <c r="S49" s="14">
        <v>4207</v>
      </c>
      <c r="T49" s="14">
        <v>2471</v>
      </c>
      <c r="U49" s="14">
        <v>1020</v>
      </c>
      <c r="V49" s="14">
        <v>1331</v>
      </c>
      <c r="W49" s="14">
        <v>3757</v>
      </c>
      <c r="X49" s="14">
        <v>0</v>
      </c>
      <c r="Y49" s="14">
        <v>0</v>
      </c>
      <c r="Z49" s="14">
        <v>0</v>
      </c>
      <c r="AA49" s="14">
        <v>31426</v>
      </c>
      <c r="AB49" s="14">
        <v>31440</v>
      </c>
      <c r="AC49" s="14">
        <v>31594</v>
      </c>
      <c r="AD49" s="14">
        <v>31674</v>
      </c>
      <c r="AE49" s="14">
        <v>30698</v>
      </c>
      <c r="AF49" s="14">
        <v>31278</v>
      </c>
    </row>
    <row r="50" spans="1:32">
      <c r="A50" s="1">
        <v>1491</v>
      </c>
      <c r="B50" s="11">
        <v>38898</v>
      </c>
      <c r="C50" s="14">
        <v>5590</v>
      </c>
      <c r="D50" s="14">
        <v>10856</v>
      </c>
      <c r="E50" s="14">
        <v>3348</v>
      </c>
      <c r="F50" s="14">
        <v>11887</v>
      </c>
      <c r="G50" s="14">
        <v>5991</v>
      </c>
      <c r="H50" s="14">
        <v>0</v>
      </c>
      <c r="I50" s="14">
        <v>0</v>
      </c>
      <c r="J50" s="14">
        <v>7945</v>
      </c>
      <c r="K50" s="14">
        <v>20463</v>
      </c>
      <c r="L50" s="14">
        <v>0</v>
      </c>
      <c r="M50" s="14">
        <v>7118</v>
      </c>
      <c r="N50" s="14">
        <v>0</v>
      </c>
      <c r="O50" s="14">
        <v>0</v>
      </c>
      <c r="P50" s="14">
        <v>28590</v>
      </c>
      <c r="Q50" s="14">
        <v>0</v>
      </c>
      <c r="R50" s="14">
        <v>1496</v>
      </c>
      <c r="S50" s="14">
        <v>3068</v>
      </c>
      <c r="T50" s="14">
        <v>2399</v>
      </c>
      <c r="U50" s="14">
        <v>313</v>
      </c>
      <c r="V50" s="14">
        <v>0</v>
      </c>
      <c r="W50" s="14">
        <v>5787</v>
      </c>
      <c r="X50" s="14">
        <v>0</v>
      </c>
      <c r="Y50" s="14">
        <v>0</v>
      </c>
      <c r="Z50" s="14">
        <v>0</v>
      </c>
      <c r="AA50" s="14">
        <v>30514</v>
      </c>
      <c r="AB50" s="14">
        <v>30860</v>
      </c>
      <c r="AC50" s="14">
        <v>30765</v>
      </c>
      <c r="AD50" s="14">
        <v>30452</v>
      </c>
      <c r="AE50" s="14">
        <v>30578</v>
      </c>
      <c r="AF50" s="14">
        <v>30080</v>
      </c>
    </row>
    <row r="51" spans="1:32">
      <c r="A51" s="1">
        <v>1522</v>
      </c>
      <c r="B51" s="11">
        <v>38929</v>
      </c>
      <c r="C51" s="14">
        <v>6162</v>
      </c>
      <c r="D51" s="14">
        <v>12717</v>
      </c>
      <c r="E51" s="14">
        <v>3603</v>
      </c>
      <c r="F51" s="14">
        <v>12713</v>
      </c>
      <c r="G51" s="14">
        <v>4801</v>
      </c>
      <c r="H51" s="14">
        <v>0</v>
      </c>
      <c r="I51" s="14">
        <v>0</v>
      </c>
      <c r="J51" s="14">
        <v>6716</v>
      </c>
      <c r="K51" s="14">
        <v>24448</v>
      </c>
      <c r="L51" s="14">
        <v>10623</v>
      </c>
      <c r="M51" s="14">
        <v>11042</v>
      </c>
      <c r="N51" s="14">
        <v>5041</v>
      </c>
      <c r="O51" s="14">
        <v>0</v>
      </c>
      <c r="P51" s="14">
        <v>29526</v>
      </c>
      <c r="Q51" s="14">
        <v>27364</v>
      </c>
      <c r="R51" s="14">
        <v>1976</v>
      </c>
      <c r="S51" s="14">
        <v>5635</v>
      </c>
      <c r="T51" s="14">
        <v>2427</v>
      </c>
      <c r="U51" s="14">
        <v>0</v>
      </c>
      <c r="V51" s="14">
        <v>0</v>
      </c>
      <c r="W51" s="14">
        <v>4862</v>
      </c>
      <c r="X51" s="14">
        <v>0</v>
      </c>
      <c r="Y51" s="14">
        <v>0</v>
      </c>
      <c r="Z51" s="14">
        <v>0</v>
      </c>
      <c r="AA51" s="14">
        <v>31369</v>
      </c>
      <c r="AB51" s="14">
        <v>30944</v>
      </c>
      <c r="AC51" s="14">
        <v>31694</v>
      </c>
      <c r="AD51" s="14">
        <v>31477</v>
      </c>
      <c r="AE51" s="14">
        <v>31450</v>
      </c>
      <c r="AF51" s="14">
        <v>31610</v>
      </c>
    </row>
    <row r="52" spans="1:32">
      <c r="A52" s="1">
        <v>1553</v>
      </c>
      <c r="B52" s="11">
        <v>38960</v>
      </c>
      <c r="C52" s="14">
        <v>6751</v>
      </c>
      <c r="D52" s="14">
        <v>12018</v>
      </c>
      <c r="E52" s="14">
        <v>3498</v>
      </c>
      <c r="F52" s="14">
        <v>12428</v>
      </c>
      <c r="G52" s="14">
        <v>6234</v>
      </c>
      <c r="H52" s="14">
        <v>0</v>
      </c>
      <c r="I52" s="14">
        <v>0</v>
      </c>
      <c r="J52" s="14">
        <v>13402</v>
      </c>
      <c r="K52" s="14">
        <v>23124</v>
      </c>
      <c r="L52" s="14">
        <v>10852</v>
      </c>
      <c r="M52" s="14">
        <v>11798</v>
      </c>
      <c r="N52" s="14">
        <v>5748</v>
      </c>
      <c r="O52" s="14">
        <v>0</v>
      </c>
      <c r="P52" s="14">
        <v>45797</v>
      </c>
      <c r="Q52" s="14">
        <v>28333</v>
      </c>
      <c r="R52" s="14">
        <v>3121</v>
      </c>
      <c r="S52" s="14">
        <v>5858</v>
      </c>
      <c r="T52" s="14">
        <v>3156</v>
      </c>
      <c r="U52" s="14">
        <v>1351</v>
      </c>
      <c r="V52" s="14">
        <v>0</v>
      </c>
      <c r="W52" s="14">
        <v>4560</v>
      </c>
      <c r="X52" s="14">
        <v>0</v>
      </c>
      <c r="Y52" s="14">
        <v>0</v>
      </c>
      <c r="Z52" s="14">
        <v>0</v>
      </c>
      <c r="AA52" s="14">
        <v>6321</v>
      </c>
      <c r="AB52" s="14">
        <v>28975</v>
      </c>
      <c r="AC52" s="14">
        <v>27810</v>
      </c>
      <c r="AD52" s="14">
        <v>29848</v>
      </c>
      <c r="AE52" s="14">
        <v>27273</v>
      </c>
      <c r="AF52" s="14">
        <v>31686</v>
      </c>
    </row>
    <row r="53" spans="1:32">
      <c r="A53" s="1">
        <v>1583</v>
      </c>
      <c r="B53" s="11">
        <v>38990</v>
      </c>
      <c r="C53" s="14">
        <v>7185</v>
      </c>
      <c r="D53" s="14">
        <v>11460</v>
      </c>
      <c r="E53" s="14">
        <v>2438</v>
      </c>
      <c r="F53" s="14">
        <v>13013</v>
      </c>
      <c r="G53" s="14">
        <v>7407</v>
      </c>
      <c r="H53" s="14">
        <v>0</v>
      </c>
      <c r="I53" s="14">
        <v>0</v>
      </c>
      <c r="J53" s="14">
        <v>15591</v>
      </c>
      <c r="K53" s="14">
        <v>22569</v>
      </c>
      <c r="L53" s="14">
        <v>13053</v>
      </c>
      <c r="M53" s="14">
        <v>11921</v>
      </c>
      <c r="N53" s="14">
        <v>3395</v>
      </c>
      <c r="O53" s="14">
        <v>567</v>
      </c>
      <c r="P53" s="14">
        <v>42083</v>
      </c>
      <c r="Q53" s="14">
        <v>22361</v>
      </c>
      <c r="R53" s="14">
        <v>3369</v>
      </c>
      <c r="S53" s="14">
        <v>5863</v>
      </c>
      <c r="T53" s="14">
        <v>13159</v>
      </c>
      <c r="U53" s="14">
        <v>4407</v>
      </c>
      <c r="V53" s="14">
        <v>0</v>
      </c>
      <c r="W53" s="14">
        <v>4506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</row>
    <row r="54" spans="1:32">
      <c r="A54" s="1">
        <v>1614</v>
      </c>
      <c r="B54" s="11">
        <v>39021</v>
      </c>
      <c r="C54" s="14">
        <v>7813</v>
      </c>
      <c r="D54" s="14">
        <v>14770</v>
      </c>
      <c r="E54" s="14">
        <v>3818</v>
      </c>
      <c r="F54" s="14">
        <v>14812</v>
      </c>
      <c r="G54" s="14">
        <v>9295</v>
      </c>
      <c r="H54" s="14">
        <v>3354</v>
      </c>
      <c r="I54" s="14">
        <v>0</v>
      </c>
      <c r="J54" s="14">
        <v>18700</v>
      </c>
      <c r="K54" s="14">
        <v>28894</v>
      </c>
      <c r="L54" s="14">
        <v>17169</v>
      </c>
      <c r="M54" s="14">
        <v>12560</v>
      </c>
      <c r="N54" s="14">
        <v>6934</v>
      </c>
      <c r="O54" s="14">
        <v>4264</v>
      </c>
      <c r="P54" s="14">
        <v>52766</v>
      </c>
      <c r="Q54" s="14">
        <v>22896</v>
      </c>
      <c r="R54" s="14">
        <v>3395</v>
      </c>
      <c r="S54" s="14">
        <v>8359</v>
      </c>
      <c r="T54" s="14">
        <v>15016</v>
      </c>
      <c r="U54" s="14">
        <v>3630</v>
      </c>
      <c r="V54" s="14">
        <v>33192</v>
      </c>
      <c r="W54" s="14">
        <v>5692</v>
      </c>
      <c r="X54" s="14">
        <v>0</v>
      </c>
      <c r="Y54" s="14">
        <v>0</v>
      </c>
      <c r="Z54" s="14">
        <v>0</v>
      </c>
      <c r="AA54" s="14">
        <v>30912</v>
      </c>
      <c r="AB54" s="14">
        <v>31756</v>
      </c>
      <c r="AC54" s="14">
        <v>31815</v>
      </c>
      <c r="AD54" s="14">
        <v>31956</v>
      </c>
      <c r="AE54" s="14">
        <v>31298</v>
      </c>
      <c r="AF54" s="14">
        <v>31840</v>
      </c>
    </row>
    <row r="55" spans="1:32">
      <c r="A55" s="1">
        <v>1644</v>
      </c>
      <c r="B55" s="11">
        <v>39051</v>
      </c>
      <c r="C55" s="14">
        <v>7069</v>
      </c>
      <c r="D55" s="14">
        <v>12733</v>
      </c>
      <c r="E55" s="14">
        <v>3450</v>
      </c>
      <c r="F55" s="14">
        <v>14964</v>
      </c>
      <c r="G55" s="14">
        <v>9769</v>
      </c>
      <c r="H55" s="14">
        <v>3372</v>
      </c>
      <c r="I55" s="14">
        <v>0</v>
      </c>
      <c r="J55" s="14">
        <v>19685</v>
      </c>
      <c r="K55" s="14">
        <v>31827</v>
      </c>
      <c r="L55" s="14">
        <v>19340</v>
      </c>
      <c r="M55" s="14">
        <v>14467</v>
      </c>
      <c r="N55" s="14">
        <v>8343</v>
      </c>
      <c r="O55" s="14">
        <v>7128</v>
      </c>
      <c r="P55" s="14">
        <v>48826</v>
      </c>
      <c r="Q55" s="14">
        <v>22362</v>
      </c>
      <c r="R55" s="14">
        <v>3067</v>
      </c>
      <c r="S55" s="14">
        <v>8998</v>
      </c>
      <c r="T55" s="14">
        <v>13567</v>
      </c>
      <c r="U55" s="14">
        <v>4573</v>
      </c>
      <c r="V55" s="14">
        <v>42134</v>
      </c>
      <c r="W55" s="14">
        <v>4375</v>
      </c>
      <c r="X55" s="14">
        <v>0</v>
      </c>
      <c r="Y55" s="14">
        <v>0</v>
      </c>
      <c r="Z55" s="14">
        <v>0</v>
      </c>
      <c r="AA55" s="14">
        <v>30128</v>
      </c>
      <c r="AB55" s="14">
        <v>30071</v>
      </c>
      <c r="AC55" s="14">
        <v>30174</v>
      </c>
      <c r="AD55" s="14">
        <v>29921</v>
      </c>
      <c r="AE55" s="14">
        <v>29976</v>
      </c>
      <c r="AF55" s="14">
        <v>30267</v>
      </c>
    </row>
    <row r="56" spans="1:32">
      <c r="A56" s="1">
        <v>1675</v>
      </c>
      <c r="B56" s="11">
        <v>39082</v>
      </c>
      <c r="C56" s="14">
        <v>6808</v>
      </c>
      <c r="D56" s="14">
        <v>7366</v>
      </c>
      <c r="E56" s="14">
        <v>3446</v>
      </c>
      <c r="F56" s="14">
        <v>6683</v>
      </c>
      <c r="G56" s="14">
        <v>9861</v>
      </c>
      <c r="H56" s="14">
        <v>3520</v>
      </c>
      <c r="I56" s="14">
        <v>0</v>
      </c>
      <c r="J56" s="14">
        <v>18680</v>
      </c>
      <c r="K56" s="14">
        <v>23134</v>
      </c>
      <c r="L56" s="14">
        <v>17219</v>
      </c>
      <c r="M56" s="14">
        <v>11038</v>
      </c>
      <c r="N56" s="14">
        <v>9805</v>
      </c>
      <c r="O56" s="14">
        <v>6269</v>
      </c>
      <c r="P56" s="14">
        <v>36126</v>
      </c>
      <c r="Q56" s="14">
        <v>23353</v>
      </c>
      <c r="R56" s="14">
        <v>1955</v>
      </c>
      <c r="S56" s="14">
        <v>7198</v>
      </c>
      <c r="T56" s="14">
        <v>6649</v>
      </c>
      <c r="U56" s="14">
        <v>4600</v>
      </c>
      <c r="V56" s="14">
        <v>18411</v>
      </c>
      <c r="W56" s="14">
        <v>16219</v>
      </c>
      <c r="X56" s="14">
        <v>0</v>
      </c>
      <c r="Y56" s="14">
        <v>0</v>
      </c>
      <c r="Z56" s="14">
        <v>0</v>
      </c>
      <c r="AA56" s="14">
        <v>32549</v>
      </c>
      <c r="AB56" s="14">
        <v>32035</v>
      </c>
      <c r="AC56" s="14">
        <v>9335</v>
      </c>
      <c r="AD56" s="14">
        <v>28105</v>
      </c>
      <c r="AE56" s="14">
        <v>31554</v>
      </c>
      <c r="AF56" s="14">
        <v>32304</v>
      </c>
    </row>
    <row r="57" spans="1:32">
      <c r="A57" s="1">
        <v>1706</v>
      </c>
      <c r="B57" s="11">
        <v>39113</v>
      </c>
      <c r="C57" s="14">
        <v>6304</v>
      </c>
      <c r="D57" s="14">
        <v>10532</v>
      </c>
      <c r="E57" s="14">
        <v>4546</v>
      </c>
      <c r="F57" s="14">
        <v>16239</v>
      </c>
      <c r="G57" s="14">
        <v>9734</v>
      </c>
      <c r="H57" s="14">
        <v>3538</v>
      </c>
      <c r="I57" s="14">
        <v>0</v>
      </c>
      <c r="J57" s="14">
        <v>17686</v>
      </c>
      <c r="K57" s="14">
        <v>37903</v>
      </c>
      <c r="L57" s="14">
        <v>13861</v>
      </c>
      <c r="M57" s="14">
        <v>15577</v>
      </c>
      <c r="N57" s="14">
        <v>5341</v>
      </c>
      <c r="O57" s="14">
        <v>2895</v>
      </c>
      <c r="P57" s="14">
        <v>34802</v>
      </c>
      <c r="Q57" s="14">
        <v>21607</v>
      </c>
      <c r="R57" s="14">
        <v>2320</v>
      </c>
      <c r="S57" s="14">
        <v>2720</v>
      </c>
      <c r="T57" s="14">
        <v>18943</v>
      </c>
      <c r="U57" s="14">
        <v>4180</v>
      </c>
      <c r="V57" s="14">
        <v>28446</v>
      </c>
      <c r="W57" s="14">
        <v>27715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33220</v>
      </c>
      <c r="AE57" s="14">
        <v>0</v>
      </c>
      <c r="AF57" s="14">
        <v>0</v>
      </c>
    </row>
    <row r="58" spans="1:32">
      <c r="A58" s="1">
        <v>1734</v>
      </c>
      <c r="B58" s="11">
        <v>39141</v>
      </c>
      <c r="C58" s="14">
        <v>5697</v>
      </c>
      <c r="D58" s="14">
        <v>7355</v>
      </c>
      <c r="E58" s="14">
        <v>3404</v>
      </c>
      <c r="F58" s="14">
        <v>36557</v>
      </c>
      <c r="G58" s="14">
        <v>7882</v>
      </c>
      <c r="H58" s="14">
        <v>2736</v>
      </c>
      <c r="I58" s="14">
        <v>0</v>
      </c>
      <c r="J58" s="14">
        <v>15342</v>
      </c>
      <c r="K58" s="14">
        <v>28235</v>
      </c>
      <c r="L58" s="14">
        <v>12374</v>
      </c>
      <c r="M58" s="14">
        <v>3736</v>
      </c>
      <c r="N58" s="14">
        <v>27410</v>
      </c>
      <c r="O58" s="14">
        <v>2324</v>
      </c>
      <c r="P58" s="14">
        <v>27242</v>
      </c>
      <c r="Q58" s="14">
        <v>23271</v>
      </c>
      <c r="R58" s="14">
        <v>1918</v>
      </c>
      <c r="S58" s="14">
        <v>3401</v>
      </c>
      <c r="T58" s="14">
        <v>13960</v>
      </c>
      <c r="U58" s="14">
        <v>4483</v>
      </c>
      <c r="V58" s="14">
        <v>24156</v>
      </c>
      <c r="W58" s="14">
        <v>22376</v>
      </c>
      <c r="X58" s="14">
        <v>0</v>
      </c>
      <c r="Y58" s="14">
        <v>0</v>
      </c>
      <c r="Z58" s="14">
        <v>0</v>
      </c>
      <c r="AA58" s="14">
        <v>28715</v>
      </c>
      <c r="AB58" s="14">
        <v>28447</v>
      </c>
      <c r="AC58" s="14">
        <v>28487</v>
      </c>
      <c r="AD58" s="14">
        <v>29356</v>
      </c>
      <c r="AE58" s="14">
        <v>27227</v>
      </c>
      <c r="AF58" s="14">
        <v>24921</v>
      </c>
    </row>
    <row r="59" spans="1:32">
      <c r="A59" s="1">
        <v>1765</v>
      </c>
      <c r="B59" s="11">
        <v>39172</v>
      </c>
      <c r="C59" s="14">
        <v>6338</v>
      </c>
      <c r="D59" s="14">
        <v>7473</v>
      </c>
      <c r="E59" s="14">
        <v>3350</v>
      </c>
      <c r="F59" s="14">
        <v>36814</v>
      </c>
      <c r="G59" s="14">
        <v>8355</v>
      </c>
      <c r="H59" s="14">
        <v>5371</v>
      </c>
      <c r="I59" s="14">
        <v>0</v>
      </c>
      <c r="J59" s="14">
        <v>14669</v>
      </c>
      <c r="K59" s="14">
        <v>29570</v>
      </c>
      <c r="L59" s="14">
        <v>11938</v>
      </c>
      <c r="M59" s="14">
        <v>7268</v>
      </c>
      <c r="N59" s="14">
        <v>35125</v>
      </c>
      <c r="O59" s="14">
        <v>2469</v>
      </c>
      <c r="P59" s="14">
        <v>26743</v>
      </c>
      <c r="Q59" s="14">
        <v>23855</v>
      </c>
      <c r="R59" s="14">
        <v>2026</v>
      </c>
      <c r="S59" s="14">
        <v>3559</v>
      </c>
      <c r="T59" s="14">
        <v>14734</v>
      </c>
      <c r="U59" s="14">
        <v>4698</v>
      </c>
      <c r="V59" s="14">
        <v>26153</v>
      </c>
      <c r="W59" s="14">
        <v>22318</v>
      </c>
      <c r="X59" s="14">
        <v>0</v>
      </c>
      <c r="Y59" s="14">
        <v>0</v>
      </c>
      <c r="Z59" s="14">
        <v>0</v>
      </c>
      <c r="AA59" s="14">
        <v>32680</v>
      </c>
      <c r="AB59" s="14">
        <v>31625</v>
      </c>
      <c r="AC59" s="14">
        <v>33159</v>
      </c>
      <c r="AD59" s="14">
        <v>33275</v>
      </c>
      <c r="AE59" s="14">
        <v>31710</v>
      </c>
      <c r="AF59" s="14">
        <v>31590</v>
      </c>
    </row>
    <row r="60" spans="1:32">
      <c r="A60" s="1">
        <v>1795</v>
      </c>
      <c r="B60" s="11">
        <v>39202</v>
      </c>
      <c r="C60" s="14">
        <v>5120</v>
      </c>
      <c r="D60" s="14">
        <v>6819</v>
      </c>
      <c r="E60" s="14">
        <v>4895</v>
      </c>
      <c r="F60" s="14">
        <v>22618</v>
      </c>
      <c r="G60" s="14">
        <v>6187</v>
      </c>
      <c r="H60" s="14">
        <v>9199</v>
      </c>
      <c r="I60" s="14">
        <v>0</v>
      </c>
      <c r="J60" s="14">
        <v>13597</v>
      </c>
      <c r="K60" s="14">
        <v>28834</v>
      </c>
      <c r="L60" s="14">
        <v>9061</v>
      </c>
      <c r="M60" s="14">
        <v>14553</v>
      </c>
      <c r="N60" s="14">
        <v>37667</v>
      </c>
      <c r="O60" s="14">
        <v>2361</v>
      </c>
      <c r="P60" s="14">
        <v>21426</v>
      </c>
      <c r="Q60" s="14">
        <v>15208</v>
      </c>
      <c r="R60" s="14">
        <v>1584</v>
      </c>
      <c r="S60" s="14">
        <v>3495</v>
      </c>
      <c r="T60" s="14">
        <v>14783</v>
      </c>
      <c r="U60" s="14">
        <v>4065</v>
      </c>
      <c r="V60" s="14">
        <v>20715</v>
      </c>
      <c r="W60" s="14">
        <v>22696</v>
      </c>
      <c r="X60" s="14">
        <v>0</v>
      </c>
      <c r="Y60" s="14">
        <v>0</v>
      </c>
      <c r="Z60" s="14">
        <v>0</v>
      </c>
      <c r="AA60" s="14">
        <v>29080</v>
      </c>
      <c r="AB60" s="14">
        <v>30629</v>
      </c>
      <c r="AC60" s="14">
        <v>29576</v>
      </c>
      <c r="AD60" s="14">
        <v>31469</v>
      </c>
      <c r="AE60" s="14">
        <v>28946</v>
      </c>
      <c r="AF60" s="14">
        <v>30372</v>
      </c>
    </row>
    <row r="61" spans="1:32">
      <c r="A61" s="1">
        <v>1826</v>
      </c>
      <c r="B61" s="11">
        <v>39233</v>
      </c>
      <c r="C61" s="14">
        <v>5023</v>
      </c>
      <c r="D61" s="14">
        <v>6226</v>
      </c>
      <c r="E61" s="14">
        <v>4047</v>
      </c>
      <c r="F61" s="14">
        <v>41725</v>
      </c>
      <c r="G61" s="14">
        <v>2172</v>
      </c>
      <c r="H61" s="14">
        <v>9910</v>
      </c>
      <c r="I61" s="14">
        <v>0</v>
      </c>
      <c r="J61" s="14">
        <v>14052</v>
      </c>
      <c r="K61" s="14">
        <v>31034</v>
      </c>
      <c r="L61" s="14">
        <v>8592</v>
      </c>
      <c r="M61" s="14">
        <v>11519</v>
      </c>
      <c r="N61" s="14">
        <v>12889</v>
      </c>
      <c r="O61" s="14">
        <v>1862</v>
      </c>
      <c r="P61" s="14">
        <v>23818</v>
      </c>
      <c r="Q61" s="14">
        <v>3445</v>
      </c>
      <c r="R61" s="14">
        <v>835</v>
      </c>
      <c r="S61" s="14">
        <v>4548</v>
      </c>
      <c r="T61" s="14">
        <v>16299</v>
      </c>
      <c r="U61" s="14">
        <v>4657</v>
      </c>
      <c r="V61" s="14">
        <v>11510</v>
      </c>
      <c r="W61" s="14">
        <v>23066</v>
      </c>
      <c r="X61" s="14">
        <v>0</v>
      </c>
      <c r="Y61" s="14">
        <v>0</v>
      </c>
      <c r="Z61" s="14">
        <v>0</v>
      </c>
      <c r="AA61" s="14">
        <v>31797</v>
      </c>
      <c r="AB61" s="14">
        <v>31281</v>
      </c>
      <c r="AC61" s="14">
        <v>31207</v>
      </c>
      <c r="AD61" s="14">
        <v>30791</v>
      </c>
      <c r="AE61" s="14">
        <v>30943</v>
      </c>
      <c r="AF61" s="14">
        <v>31889</v>
      </c>
    </row>
    <row r="62" spans="1:32">
      <c r="A62" s="1">
        <v>1856</v>
      </c>
      <c r="B62" s="11">
        <v>39263</v>
      </c>
      <c r="C62" s="14">
        <v>4503</v>
      </c>
      <c r="D62" s="14">
        <v>7222</v>
      </c>
      <c r="E62" s="14">
        <v>3089</v>
      </c>
      <c r="F62" s="14">
        <v>45941</v>
      </c>
      <c r="G62" s="14">
        <v>4460</v>
      </c>
      <c r="H62" s="14">
        <v>9768</v>
      </c>
      <c r="I62" s="14">
        <v>0</v>
      </c>
      <c r="J62" s="14">
        <v>11570</v>
      </c>
      <c r="K62" s="14">
        <v>26953</v>
      </c>
      <c r="L62" s="14">
        <v>8486</v>
      </c>
      <c r="M62" s="14">
        <v>12298</v>
      </c>
      <c r="N62" s="14">
        <v>97</v>
      </c>
      <c r="O62" s="14">
        <v>1522</v>
      </c>
      <c r="P62" s="14">
        <v>23401</v>
      </c>
      <c r="Q62" s="14">
        <v>5131</v>
      </c>
      <c r="R62" s="14">
        <v>489</v>
      </c>
      <c r="S62" s="14">
        <v>3264</v>
      </c>
      <c r="T62" s="14">
        <v>16481</v>
      </c>
      <c r="U62" s="14">
        <v>5369</v>
      </c>
      <c r="V62" s="14">
        <v>2198</v>
      </c>
      <c r="W62" s="14">
        <v>0</v>
      </c>
      <c r="X62" s="14">
        <v>0</v>
      </c>
      <c r="Y62" s="14">
        <v>0</v>
      </c>
      <c r="Z62" s="14">
        <v>0</v>
      </c>
      <c r="AA62" s="14">
        <v>30443</v>
      </c>
      <c r="AB62" s="14">
        <v>29174</v>
      </c>
      <c r="AC62" s="14">
        <v>29732</v>
      </c>
      <c r="AD62" s="14">
        <v>31108</v>
      </c>
      <c r="AE62" s="14">
        <v>29978</v>
      </c>
      <c r="AF62" s="14">
        <v>31337</v>
      </c>
    </row>
    <row r="63" spans="1:32">
      <c r="A63" s="1">
        <v>1887</v>
      </c>
      <c r="B63" s="11">
        <v>39294</v>
      </c>
      <c r="C63" s="14">
        <v>4195</v>
      </c>
      <c r="D63" s="14">
        <v>6292</v>
      </c>
      <c r="E63" s="14">
        <v>3421</v>
      </c>
      <c r="F63" s="14">
        <v>45665</v>
      </c>
      <c r="G63" s="14">
        <v>3205</v>
      </c>
      <c r="H63" s="14">
        <v>8888</v>
      </c>
      <c r="I63" s="14">
        <v>0</v>
      </c>
      <c r="J63" s="14">
        <v>14946</v>
      </c>
      <c r="K63" s="14">
        <v>25092</v>
      </c>
      <c r="L63" s="14">
        <v>3772</v>
      </c>
      <c r="M63" s="14">
        <v>6118</v>
      </c>
      <c r="N63" s="14">
        <v>96</v>
      </c>
      <c r="O63" s="14">
        <v>3428</v>
      </c>
      <c r="P63" s="14">
        <v>36429</v>
      </c>
      <c r="Q63" s="14">
        <v>24888</v>
      </c>
      <c r="R63" s="14">
        <v>0</v>
      </c>
      <c r="S63" s="14">
        <v>2811</v>
      </c>
      <c r="T63" s="14">
        <v>19501</v>
      </c>
      <c r="U63" s="14">
        <v>6302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29089</v>
      </c>
      <c r="AB63" s="14">
        <v>31120</v>
      </c>
      <c r="AC63" s="14">
        <v>30340</v>
      </c>
      <c r="AD63" s="14">
        <v>31377</v>
      </c>
      <c r="AE63" s="14">
        <v>31299</v>
      </c>
      <c r="AF63" s="14">
        <v>31205</v>
      </c>
    </row>
    <row r="64" spans="1:32">
      <c r="A64" s="1">
        <v>1918</v>
      </c>
      <c r="B64" s="11">
        <v>39325</v>
      </c>
      <c r="C64" s="14">
        <v>1948</v>
      </c>
      <c r="D64" s="14">
        <v>7619</v>
      </c>
      <c r="E64" s="14">
        <v>3829</v>
      </c>
      <c r="F64" s="14">
        <v>45581</v>
      </c>
      <c r="G64" s="14">
        <v>5672</v>
      </c>
      <c r="H64" s="14">
        <v>7754</v>
      </c>
      <c r="I64" s="14">
        <v>0</v>
      </c>
      <c r="J64" s="14">
        <v>16218</v>
      </c>
      <c r="K64" s="14">
        <v>22914</v>
      </c>
      <c r="L64" s="14">
        <v>0</v>
      </c>
      <c r="M64" s="14">
        <v>0</v>
      </c>
      <c r="N64" s="14">
        <v>94</v>
      </c>
      <c r="O64" s="14">
        <v>5052</v>
      </c>
      <c r="P64" s="14">
        <v>46196</v>
      </c>
      <c r="Q64" s="14">
        <v>31443</v>
      </c>
      <c r="R64" s="14">
        <v>0</v>
      </c>
      <c r="S64" s="14">
        <v>2883</v>
      </c>
      <c r="T64" s="14">
        <v>19560</v>
      </c>
      <c r="U64" s="14">
        <v>8337</v>
      </c>
      <c r="V64" s="14">
        <v>1534</v>
      </c>
      <c r="W64" s="14">
        <v>4282</v>
      </c>
      <c r="X64" s="14">
        <v>0</v>
      </c>
      <c r="Y64" s="14">
        <v>0</v>
      </c>
      <c r="Z64" s="14">
        <v>0</v>
      </c>
      <c r="AA64" s="14">
        <v>11467</v>
      </c>
      <c r="AB64" s="14">
        <v>31730</v>
      </c>
      <c r="AC64" s="14">
        <v>30837</v>
      </c>
      <c r="AD64" s="14">
        <v>32102</v>
      </c>
      <c r="AE64" s="14">
        <v>31608</v>
      </c>
      <c r="AF64" s="14">
        <v>31123</v>
      </c>
    </row>
    <row r="65" spans="1:32">
      <c r="A65" s="1">
        <v>1948</v>
      </c>
      <c r="B65" s="11">
        <v>39355</v>
      </c>
      <c r="C65" s="14">
        <v>6025</v>
      </c>
      <c r="D65" s="14">
        <v>8025</v>
      </c>
      <c r="E65" s="14">
        <v>4057</v>
      </c>
      <c r="F65" s="14">
        <v>42295</v>
      </c>
      <c r="G65" s="14">
        <v>6553</v>
      </c>
      <c r="H65" s="14">
        <v>7785</v>
      </c>
      <c r="I65" s="14">
        <v>0</v>
      </c>
      <c r="J65" s="14">
        <v>13817</v>
      </c>
      <c r="K65" s="14">
        <v>11434</v>
      </c>
      <c r="L65" s="14">
        <v>3828</v>
      </c>
      <c r="M65" s="14">
        <v>0</v>
      </c>
      <c r="N65" s="14">
        <v>99</v>
      </c>
      <c r="O65" s="14">
        <v>5072</v>
      </c>
      <c r="P65" s="14">
        <v>46473</v>
      </c>
      <c r="Q65" s="14">
        <v>31439</v>
      </c>
      <c r="R65" s="14">
        <v>0</v>
      </c>
      <c r="S65" s="14">
        <v>2821</v>
      </c>
      <c r="T65" s="14">
        <v>19713</v>
      </c>
      <c r="U65" s="14">
        <v>8270</v>
      </c>
      <c r="V65" s="14">
        <v>2610</v>
      </c>
      <c r="W65" s="14">
        <v>1589</v>
      </c>
      <c r="X65" s="14">
        <v>0</v>
      </c>
      <c r="Y65" s="14">
        <v>0</v>
      </c>
      <c r="Z65" s="14">
        <v>0</v>
      </c>
      <c r="AA65" s="14">
        <v>18389</v>
      </c>
      <c r="AB65" s="14">
        <v>26218</v>
      </c>
      <c r="AC65" s="14">
        <v>26015</v>
      </c>
      <c r="AD65" s="14">
        <v>30105</v>
      </c>
      <c r="AE65" s="14">
        <v>30847</v>
      </c>
      <c r="AF65" s="14">
        <v>30866</v>
      </c>
    </row>
    <row r="66" spans="1:32">
      <c r="A66" s="1">
        <v>1979</v>
      </c>
      <c r="B66" s="11">
        <v>39386</v>
      </c>
      <c r="C66" s="14">
        <v>6177</v>
      </c>
      <c r="D66" s="14">
        <v>11941</v>
      </c>
      <c r="E66" s="14">
        <v>3178</v>
      </c>
      <c r="F66" s="14">
        <v>47182</v>
      </c>
      <c r="G66" s="14">
        <v>6836</v>
      </c>
      <c r="H66" s="14">
        <v>8116</v>
      </c>
      <c r="I66" s="14">
        <v>0</v>
      </c>
      <c r="J66" s="14">
        <v>16991</v>
      </c>
      <c r="K66" s="14">
        <v>0</v>
      </c>
      <c r="L66" s="14">
        <v>9049</v>
      </c>
      <c r="M66" s="14">
        <v>0</v>
      </c>
      <c r="N66" s="14">
        <v>98</v>
      </c>
      <c r="O66" s="14">
        <v>5288</v>
      </c>
      <c r="P66" s="14">
        <v>48381</v>
      </c>
      <c r="Q66" s="14">
        <v>32868</v>
      </c>
      <c r="R66" s="14">
        <v>0</v>
      </c>
      <c r="S66" s="14">
        <v>3027</v>
      </c>
      <c r="T66" s="14">
        <v>20506</v>
      </c>
      <c r="U66" s="14">
        <v>8694</v>
      </c>
      <c r="V66" s="14">
        <v>1558</v>
      </c>
      <c r="W66" s="14">
        <v>1659</v>
      </c>
      <c r="X66" s="14">
        <v>0</v>
      </c>
      <c r="Y66" s="14">
        <v>0</v>
      </c>
      <c r="Z66" s="14">
        <v>0</v>
      </c>
      <c r="AA66" s="14">
        <v>16144</v>
      </c>
      <c r="AB66" s="14">
        <v>31803</v>
      </c>
      <c r="AC66" s="14">
        <v>31773</v>
      </c>
      <c r="AD66" s="14">
        <v>31676</v>
      </c>
      <c r="AE66" s="14">
        <v>32100</v>
      </c>
      <c r="AF66" s="14">
        <v>31601</v>
      </c>
    </row>
    <row r="67" spans="1:32">
      <c r="A67" s="1">
        <v>2009</v>
      </c>
      <c r="B67" s="11">
        <v>39416</v>
      </c>
      <c r="C67" s="14">
        <v>5078</v>
      </c>
      <c r="D67" s="14">
        <v>9172</v>
      </c>
      <c r="E67" s="14">
        <v>3206</v>
      </c>
      <c r="F67" s="14">
        <v>38124</v>
      </c>
      <c r="G67" s="14">
        <v>6345</v>
      </c>
      <c r="H67" s="14">
        <v>7547</v>
      </c>
      <c r="I67" s="14">
        <v>0</v>
      </c>
      <c r="J67" s="14">
        <v>6398</v>
      </c>
      <c r="K67" s="14">
        <v>18294</v>
      </c>
      <c r="L67" s="14">
        <v>8396</v>
      </c>
      <c r="M67" s="14">
        <v>0</v>
      </c>
      <c r="N67" s="14">
        <v>97</v>
      </c>
      <c r="O67" s="14">
        <v>4917</v>
      </c>
      <c r="P67" s="14">
        <v>44906</v>
      </c>
      <c r="Q67" s="14">
        <v>30335</v>
      </c>
      <c r="R67" s="14">
        <v>0</v>
      </c>
      <c r="S67" s="14">
        <v>2909</v>
      </c>
      <c r="T67" s="14">
        <v>16169</v>
      </c>
      <c r="U67" s="14">
        <v>7522</v>
      </c>
      <c r="V67" s="14">
        <v>1074</v>
      </c>
      <c r="W67" s="14">
        <v>1546</v>
      </c>
      <c r="X67" s="14">
        <v>0</v>
      </c>
      <c r="Y67" s="14">
        <v>0</v>
      </c>
      <c r="Z67" s="14">
        <v>0</v>
      </c>
      <c r="AA67" s="14">
        <v>17773</v>
      </c>
      <c r="AB67" s="14">
        <v>30646</v>
      </c>
      <c r="AC67" s="14">
        <v>31184</v>
      </c>
      <c r="AD67" s="14">
        <v>20132</v>
      </c>
      <c r="AE67" s="14">
        <v>31020</v>
      </c>
      <c r="AF67" s="14">
        <v>30770</v>
      </c>
    </row>
    <row r="68" spans="1:32">
      <c r="A68" s="1">
        <v>2040</v>
      </c>
      <c r="B68" s="11">
        <v>39447</v>
      </c>
      <c r="C68" s="14">
        <v>5509</v>
      </c>
      <c r="D68" s="14">
        <v>8978</v>
      </c>
      <c r="E68" s="14">
        <v>4732</v>
      </c>
      <c r="F68" s="14">
        <v>35515</v>
      </c>
      <c r="G68" s="14">
        <v>7836</v>
      </c>
      <c r="H68" s="14">
        <v>8176</v>
      </c>
      <c r="I68" s="14">
        <v>0</v>
      </c>
      <c r="J68" s="14">
        <v>14490</v>
      </c>
      <c r="K68" s="14">
        <v>25324</v>
      </c>
      <c r="L68" s="14">
        <v>9084</v>
      </c>
      <c r="M68" s="14">
        <v>0</v>
      </c>
      <c r="N68" s="14">
        <v>106</v>
      </c>
      <c r="O68" s="14">
        <v>5330</v>
      </c>
      <c r="P68" s="14">
        <v>48598</v>
      </c>
      <c r="Q68" s="14">
        <v>27833</v>
      </c>
      <c r="R68" s="14">
        <v>2841</v>
      </c>
      <c r="S68" s="14">
        <v>3050</v>
      </c>
      <c r="T68" s="14">
        <v>10081</v>
      </c>
      <c r="U68" s="14">
        <v>8200</v>
      </c>
      <c r="V68" s="14">
        <v>0</v>
      </c>
      <c r="W68" s="14">
        <v>6471</v>
      </c>
      <c r="X68" s="14">
        <v>0</v>
      </c>
      <c r="Y68" s="14">
        <v>0</v>
      </c>
      <c r="Z68" s="14">
        <v>0</v>
      </c>
      <c r="AA68" s="14">
        <v>27761</v>
      </c>
      <c r="AB68" s="14">
        <v>31793</v>
      </c>
      <c r="AC68" s="14">
        <v>32794</v>
      </c>
      <c r="AD68" s="14">
        <v>0</v>
      </c>
      <c r="AE68" s="14">
        <v>31657</v>
      </c>
      <c r="AF68" s="14">
        <v>31700</v>
      </c>
    </row>
    <row r="69" spans="1:32">
      <c r="A69" s="1">
        <v>2071</v>
      </c>
      <c r="B69" s="11">
        <v>39478</v>
      </c>
      <c r="C69" s="14">
        <v>4393</v>
      </c>
      <c r="D69" s="14">
        <v>8974</v>
      </c>
      <c r="E69" s="14">
        <v>6338</v>
      </c>
      <c r="F69" s="14">
        <v>30598</v>
      </c>
      <c r="G69" s="14">
        <v>8575</v>
      </c>
      <c r="H69" s="14">
        <v>7919</v>
      </c>
      <c r="I69" s="14">
        <v>0</v>
      </c>
      <c r="J69" s="14">
        <v>24188</v>
      </c>
      <c r="K69" s="14">
        <v>24525</v>
      </c>
      <c r="L69" s="14">
        <v>8789</v>
      </c>
      <c r="M69" s="14">
        <v>5620</v>
      </c>
      <c r="N69" s="14">
        <v>3359</v>
      </c>
      <c r="O69" s="14">
        <v>13961</v>
      </c>
      <c r="P69" s="14">
        <v>31448</v>
      </c>
      <c r="Q69" s="14">
        <v>22770</v>
      </c>
      <c r="R69" s="14">
        <v>2822</v>
      </c>
      <c r="S69" s="14">
        <v>2954</v>
      </c>
      <c r="T69" s="14">
        <v>6352</v>
      </c>
      <c r="U69" s="14">
        <v>7947</v>
      </c>
      <c r="V69" s="14">
        <v>634</v>
      </c>
      <c r="W69" s="14">
        <v>6584</v>
      </c>
      <c r="X69" s="14">
        <v>0</v>
      </c>
      <c r="Y69" s="14">
        <v>0</v>
      </c>
      <c r="Z69" s="14">
        <v>251</v>
      </c>
      <c r="AA69" s="14">
        <v>22119</v>
      </c>
      <c r="AB69" s="14">
        <v>31024</v>
      </c>
      <c r="AC69" s="14">
        <v>31700</v>
      </c>
      <c r="AD69" s="14">
        <v>27165</v>
      </c>
      <c r="AE69" s="14">
        <v>30018</v>
      </c>
      <c r="AF69" s="14">
        <v>31259</v>
      </c>
    </row>
    <row r="70" spans="1:32">
      <c r="A70" s="1">
        <v>2100</v>
      </c>
      <c r="B70" s="11">
        <v>39507</v>
      </c>
      <c r="C70" s="14">
        <v>5460</v>
      </c>
      <c r="D70" s="14">
        <v>8005</v>
      </c>
      <c r="E70" s="14">
        <v>3480</v>
      </c>
      <c r="F70" s="14">
        <v>25927</v>
      </c>
      <c r="G70" s="14">
        <v>7366</v>
      </c>
      <c r="H70" s="14">
        <v>7834</v>
      </c>
      <c r="I70" s="14">
        <v>0</v>
      </c>
      <c r="J70" s="14">
        <v>17290</v>
      </c>
      <c r="K70" s="14">
        <v>27797</v>
      </c>
      <c r="L70" s="14">
        <v>8694</v>
      </c>
      <c r="M70" s="14">
        <v>16457</v>
      </c>
      <c r="N70" s="14">
        <v>9645</v>
      </c>
      <c r="O70" s="14">
        <v>21975</v>
      </c>
      <c r="P70" s="14">
        <v>5079</v>
      </c>
      <c r="Q70" s="14">
        <v>11452</v>
      </c>
      <c r="R70" s="14">
        <v>2939</v>
      </c>
      <c r="S70" s="14">
        <v>2927</v>
      </c>
      <c r="T70" s="14">
        <v>16778</v>
      </c>
      <c r="U70" s="14">
        <v>7855</v>
      </c>
      <c r="V70" s="14">
        <v>1463</v>
      </c>
      <c r="W70" s="14">
        <v>1551</v>
      </c>
      <c r="X70" s="14">
        <v>0</v>
      </c>
      <c r="Y70" s="14">
        <v>0</v>
      </c>
      <c r="Z70" s="14">
        <v>7707</v>
      </c>
      <c r="AA70" s="14">
        <v>25118</v>
      </c>
      <c r="AB70" s="14">
        <v>30702</v>
      </c>
      <c r="AC70" s="14">
        <v>27814</v>
      </c>
      <c r="AD70" s="14">
        <v>29452</v>
      </c>
      <c r="AE70" s="14">
        <v>29661</v>
      </c>
      <c r="AF70" s="14">
        <v>31100</v>
      </c>
    </row>
    <row r="71" spans="1:32">
      <c r="A71" s="1">
        <v>2131</v>
      </c>
      <c r="B71" s="11">
        <v>39538</v>
      </c>
      <c r="C71" s="14">
        <v>8081</v>
      </c>
      <c r="D71" s="14">
        <v>9228</v>
      </c>
      <c r="E71" s="14">
        <v>2422</v>
      </c>
      <c r="F71" s="14">
        <v>25636</v>
      </c>
      <c r="G71" s="14">
        <v>0</v>
      </c>
      <c r="H71" s="14">
        <v>8255</v>
      </c>
      <c r="I71" s="14">
        <v>0</v>
      </c>
      <c r="J71" s="14">
        <v>15230</v>
      </c>
      <c r="K71" s="14">
        <v>22439</v>
      </c>
      <c r="L71" s="14">
        <v>10619</v>
      </c>
      <c r="M71" s="14">
        <v>11263</v>
      </c>
      <c r="N71" s="14">
        <v>8996</v>
      </c>
      <c r="O71" s="14">
        <v>1776</v>
      </c>
      <c r="P71" s="14">
        <v>20945</v>
      </c>
      <c r="Q71" s="14">
        <v>3235</v>
      </c>
      <c r="R71" s="14">
        <v>2534</v>
      </c>
      <c r="S71" s="14">
        <v>2894</v>
      </c>
      <c r="T71" s="14">
        <v>11013</v>
      </c>
      <c r="U71" s="14">
        <v>6422</v>
      </c>
      <c r="V71" s="14">
        <v>0</v>
      </c>
      <c r="W71" s="14">
        <v>0</v>
      </c>
      <c r="X71" s="14">
        <v>0</v>
      </c>
      <c r="Y71" s="14">
        <v>0</v>
      </c>
      <c r="Z71" s="14">
        <v>9488</v>
      </c>
      <c r="AA71" s="14">
        <v>29249</v>
      </c>
      <c r="AB71" s="14">
        <v>32606</v>
      </c>
      <c r="AC71" s="14">
        <v>32927</v>
      </c>
      <c r="AD71" s="14">
        <v>32772</v>
      </c>
      <c r="AE71" s="14">
        <v>27383</v>
      </c>
      <c r="AF71" s="14">
        <v>32745</v>
      </c>
    </row>
    <row r="72" spans="1:32">
      <c r="A72" s="1">
        <v>2161</v>
      </c>
      <c r="B72" s="11">
        <v>39568</v>
      </c>
      <c r="C72" s="14">
        <v>6075</v>
      </c>
      <c r="D72" s="14">
        <v>9848</v>
      </c>
      <c r="E72" s="14">
        <v>2992</v>
      </c>
      <c r="F72" s="14">
        <v>26627</v>
      </c>
      <c r="G72" s="14">
        <v>0</v>
      </c>
      <c r="H72" s="14">
        <v>8427</v>
      </c>
      <c r="I72" s="14">
        <v>0</v>
      </c>
      <c r="J72" s="14">
        <v>14414</v>
      </c>
      <c r="K72" s="14">
        <v>21065</v>
      </c>
      <c r="L72" s="14">
        <v>1541</v>
      </c>
      <c r="M72" s="14">
        <v>6919</v>
      </c>
      <c r="N72" s="14">
        <v>9240</v>
      </c>
      <c r="O72" s="14">
        <v>2226</v>
      </c>
      <c r="P72" s="14">
        <v>16844</v>
      </c>
      <c r="Q72" s="14">
        <v>4035</v>
      </c>
      <c r="R72" s="14">
        <v>0</v>
      </c>
      <c r="S72" s="14">
        <v>2893</v>
      </c>
      <c r="T72" s="14">
        <v>15887</v>
      </c>
      <c r="U72" s="14">
        <v>1432</v>
      </c>
      <c r="V72" s="14">
        <v>0</v>
      </c>
      <c r="W72" s="14">
        <v>2143</v>
      </c>
      <c r="X72" s="14">
        <v>0</v>
      </c>
      <c r="Y72" s="14">
        <v>0</v>
      </c>
      <c r="Z72" s="14">
        <v>14299</v>
      </c>
      <c r="AA72" s="14">
        <v>14016</v>
      </c>
      <c r="AB72" s="14">
        <v>31225</v>
      </c>
      <c r="AC72" s="14">
        <v>31288</v>
      </c>
      <c r="AD72" s="14">
        <v>31763</v>
      </c>
      <c r="AE72" s="14">
        <v>32308</v>
      </c>
      <c r="AF72" s="14">
        <v>31238</v>
      </c>
    </row>
    <row r="73" spans="1:32">
      <c r="A73" s="1">
        <v>2192</v>
      </c>
      <c r="B73" s="11">
        <v>39599</v>
      </c>
      <c r="C73" s="14">
        <v>7368</v>
      </c>
      <c r="D73" s="14">
        <v>10061</v>
      </c>
      <c r="E73" s="14">
        <v>5124</v>
      </c>
      <c r="F73" s="14">
        <v>25854</v>
      </c>
      <c r="G73" s="14">
        <v>0</v>
      </c>
      <c r="H73" s="14">
        <v>11282</v>
      </c>
      <c r="I73" s="14">
        <v>0</v>
      </c>
      <c r="J73" s="14">
        <v>16980</v>
      </c>
      <c r="K73" s="14">
        <v>20703</v>
      </c>
      <c r="L73" s="14">
        <v>263</v>
      </c>
      <c r="M73" s="14">
        <v>6266</v>
      </c>
      <c r="N73" s="14">
        <v>10088</v>
      </c>
      <c r="O73" s="14">
        <v>2466</v>
      </c>
      <c r="P73" s="14">
        <v>17954</v>
      </c>
      <c r="Q73" s="14">
        <v>5002</v>
      </c>
      <c r="R73" s="14">
        <v>860</v>
      </c>
      <c r="S73" s="14">
        <v>2145</v>
      </c>
      <c r="T73" s="14">
        <v>12569</v>
      </c>
      <c r="U73" s="14">
        <v>0</v>
      </c>
      <c r="V73" s="14">
        <v>0</v>
      </c>
      <c r="W73" s="14">
        <v>3942</v>
      </c>
      <c r="X73" s="14">
        <v>0</v>
      </c>
      <c r="Y73" s="14">
        <v>11244</v>
      </c>
      <c r="Z73" s="14">
        <v>21877</v>
      </c>
      <c r="AA73" s="14">
        <v>16713</v>
      </c>
      <c r="AB73" s="14">
        <v>33082</v>
      </c>
      <c r="AC73" s="14">
        <v>32338</v>
      </c>
      <c r="AD73" s="14">
        <v>32822</v>
      </c>
      <c r="AE73" s="14">
        <v>19556</v>
      </c>
      <c r="AF73" s="14">
        <v>33648</v>
      </c>
    </row>
    <row r="74" spans="1:32">
      <c r="A74" s="1">
        <v>2222</v>
      </c>
      <c r="B74" s="11">
        <v>39629</v>
      </c>
      <c r="C74" s="14">
        <v>7018</v>
      </c>
      <c r="D74" s="14">
        <v>9611</v>
      </c>
      <c r="E74" s="14">
        <v>5530</v>
      </c>
      <c r="F74" s="14">
        <v>27251</v>
      </c>
      <c r="G74" s="14">
        <v>5654</v>
      </c>
      <c r="H74" s="14">
        <v>13085</v>
      </c>
      <c r="I74" s="14">
        <v>0</v>
      </c>
      <c r="J74" s="14">
        <v>18492</v>
      </c>
      <c r="K74" s="14">
        <v>22569</v>
      </c>
      <c r="L74" s="14">
        <v>286</v>
      </c>
      <c r="M74" s="14">
        <v>2911</v>
      </c>
      <c r="N74" s="14">
        <v>12489</v>
      </c>
      <c r="O74" s="14">
        <v>950</v>
      </c>
      <c r="P74" s="14">
        <v>33858</v>
      </c>
      <c r="Q74" s="14">
        <v>12703</v>
      </c>
      <c r="R74" s="14">
        <v>0</v>
      </c>
      <c r="S74" s="14">
        <v>2120</v>
      </c>
      <c r="T74" s="14">
        <v>8908</v>
      </c>
      <c r="U74" s="14">
        <v>0</v>
      </c>
      <c r="V74" s="14">
        <v>0</v>
      </c>
      <c r="W74" s="14">
        <v>1658</v>
      </c>
      <c r="X74" s="14">
        <v>0</v>
      </c>
      <c r="Y74" s="14">
        <v>8398</v>
      </c>
      <c r="Z74" s="14">
        <v>24509</v>
      </c>
      <c r="AA74" s="14">
        <v>29949</v>
      </c>
      <c r="AB74" s="14">
        <v>31168</v>
      </c>
      <c r="AC74" s="14">
        <v>31084</v>
      </c>
      <c r="AD74" s="14">
        <v>35523</v>
      </c>
      <c r="AE74" s="14">
        <v>0</v>
      </c>
      <c r="AF74" s="14">
        <v>3410</v>
      </c>
    </row>
    <row r="75" spans="1:32">
      <c r="A75" s="1">
        <v>2253</v>
      </c>
      <c r="B75" s="11">
        <v>39660</v>
      </c>
      <c r="C75" s="14">
        <v>8035</v>
      </c>
      <c r="D75" s="14">
        <v>9611</v>
      </c>
      <c r="E75" s="14">
        <v>6329</v>
      </c>
      <c r="F75" s="14">
        <v>22322</v>
      </c>
      <c r="G75" s="14">
        <v>22434</v>
      </c>
      <c r="H75" s="14">
        <v>11204</v>
      </c>
      <c r="I75" s="14">
        <v>0</v>
      </c>
      <c r="J75" s="14">
        <v>16392</v>
      </c>
      <c r="K75" s="14">
        <v>5526</v>
      </c>
      <c r="L75" s="14">
        <v>248</v>
      </c>
      <c r="M75" s="14">
        <v>6509</v>
      </c>
      <c r="N75" s="14">
        <v>11575</v>
      </c>
      <c r="O75" s="14">
        <v>2013</v>
      </c>
      <c r="P75" s="14">
        <v>46501</v>
      </c>
      <c r="Q75" s="14">
        <v>32752</v>
      </c>
      <c r="R75" s="14">
        <v>0</v>
      </c>
      <c r="S75" s="14">
        <v>1879</v>
      </c>
      <c r="T75" s="14">
        <v>3266</v>
      </c>
      <c r="U75" s="14">
        <v>0</v>
      </c>
      <c r="V75" s="14">
        <v>0</v>
      </c>
      <c r="W75" s="14">
        <v>3247</v>
      </c>
      <c r="X75" s="14">
        <v>0</v>
      </c>
      <c r="Y75" s="14">
        <v>8032</v>
      </c>
      <c r="Z75" s="14">
        <v>23534</v>
      </c>
      <c r="AA75" s="14">
        <v>27234</v>
      </c>
      <c r="AB75" s="14">
        <v>27170</v>
      </c>
      <c r="AC75" s="14">
        <v>31190</v>
      </c>
      <c r="AD75" s="14">
        <v>27314</v>
      </c>
      <c r="AE75" s="14">
        <v>0</v>
      </c>
      <c r="AF75" s="14">
        <v>0</v>
      </c>
    </row>
    <row r="76" spans="1:32">
      <c r="A76" s="1">
        <v>2284</v>
      </c>
      <c r="B76" s="11">
        <v>39691</v>
      </c>
      <c r="C76" s="14">
        <v>5369</v>
      </c>
      <c r="D76" s="14">
        <v>9084</v>
      </c>
      <c r="E76" s="14">
        <v>2863</v>
      </c>
      <c r="F76" s="14">
        <v>18749</v>
      </c>
      <c r="G76" s="14">
        <v>13740</v>
      </c>
      <c r="H76" s="14">
        <v>8886</v>
      </c>
      <c r="I76" s="14">
        <v>0</v>
      </c>
      <c r="J76" s="14">
        <v>10786</v>
      </c>
      <c r="K76" s="14">
        <v>0</v>
      </c>
      <c r="L76" s="14">
        <v>4352</v>
      </c>
      <c r="M76" s="14">
        <v>13057</v>
      </c>
      <c r="N76" s="14">
        <v>7989</v>
      </c>
      <c r="O76" s="14">
        <v>1935</v>
      </c>
      <c r="P76" s="14">
        <v>29495</v>
      </c>
      <c r="Q76" s="14">
        <v>23576</v>
      </c>
      <c r="R76" s="14">
        <v>1312</v>
      </c>
      <c r="S76" s="14">
        <v>1730</v>
      </c>
      <c r="T76" s="14">
        <v>0</v>
      </c>
      <c r="U76" s="14">
        <v>599</v>
      </c>
      <c r="V76" s="14">
        <v>0</v>
      </c>
      <c r="W76" s="14">
        <v>2612</v>
      </c>
      <c r="X76" s="14">
        <v>0</v>
      </c>
      <c r="Y76" s="14">
        <v>23991</v>
      </c>
      <c r="Z76" s="14">
        <v>15901</v>
      </c>
      <c r="AA76" s="14">
        <v>16671</v>
      </c>
      <c r="AB76" s="14">
        <v>22095</v>
      </c>
      <c r="AC76" s="14">
        <v>31392</v>
      </c>
      <c r="AD76" s="14">
        <v>0</v>
      </c>
      <c r="AE76" s="14">
        <v>0</v>
      </c>
      <c r="AF76" s="14">
        <v>0</v>
      </c>
    </row>
    <row r="77" spans="1:32">
      <c r="A77" s="1">
        <v>2314</v>
      </c>
      <c r="B77" s="11">
        <v>39721</v>
      </c>
      <c r="C77" s="14">
        <v>6766</v>
      </c>
      <c r="D77" s="14">
        <v>10041</v>
      </c>
      <c r="E77" s="14">
        <v>3289</v>
      </c>
      <c r="F77" s="14">
        <v>21515</v>
      </c>
      <c r="G77" s="14">
        <v>10441</v>
      </c>
      <c r="H77" s="14">
        <v>8937</v>
      </c>
      <c r="I77" s="14">
        <v>0</v>
      </c>
      <c r="J77" s="14">
        <v>6252</v>
      </c>
      <c r="K77" s="14">
        <v>0</v>
      </c>
      <c r="L77" s="14">
        <v>13640</v>
      </c>
      <c r="M77" s="14">
        <v>26299</v>
      </c>
      <c r="N77" s="14">
        <v>5082</v>
      </c>
      <c r="O77" s="14">
        <v>1941</v>
      </c>
      <c r="P77" s="14">
        <v>10784</v>
      </c>
      <c r="Q77" s="14">
        <v>30166</v>
      </c>
      <c r="R77" s="14">
        <v>2299</v>
      </c>
      <c r="S77" s="14">
        <v>1729</v>
      </c>
      <c r="T77" s="14">
        <v>7694</v>
      </c>
      <c r="U77" s="14">
        <v>819</v>
      </c>
      <c r="V77" s="14">
        <v>0</v>
      </c>
      <c r="W77" s="14">
        <v>1800</v>
      </c>
      <c r="X77" s="14">
        <v>0</v>
      </c>
      <c r="Y77" s="14">
        <v>19411</v>
      </c>
      <c r="Z77" s="14">
        <v>18030</v>
      </c>
      <c r="AA77" s="14">
        <v>15345</v>
      </c>
      <c r="AB77" s="14">
        <v>14285</v>
      </c>
      <c r="AC77" s="14">
        <v>30505</v>
      </c>
      <c r="AD77" s="14">
        <v>0</v>
      </c>
      <c r="AE77" s="14">
        <v>5049</v>
      </c>
      <c r="AF77" s="14">
        <v>0</v>
      </c>
    </row>
    <row r="78" spans="1:32">
      <c r="A78" s="1">
        <v>2345</v>
      </c>
      <c r="B78" s="11">
        <v>39752</v>
      </c>
      <c r="C78" s="14">
        <v>5884</v>
      </c>
      <c r="D78" s="14">
        <v>10133</v>
      </c>
      <c r="E78" s="14">
        <v>0</v>
      </c>
      <c r="F78" s="14">
        <v>21272</v>
      </c>
      <c r="G78" s="14">
        <v>6736</v>
      </c>
      <c r="H78" s="14">
        <v>8631</v>
      </c>
      <c r="I78" s="14">
        <v>0</v>
      </c>
      <c r="J78" s="14">
        <v>5504</v>
      </c>
      <c r="K78" s="14">
        <v>6664</v>
      </c>
      <c r="L78" s="14">
        <v>12656</v>
      </c>
      <c r="M78" s="14">
        <v>24581</v>
      </c>
      <c r="N78" s="14">
        <v>4351</v>
      </c>
      <c r="O78" s="14">
        <v>1899</v>
      </c>
      <c r="P78" s="14">
        <v>36909</v>
      </c>
      <c r="Q78" s="14">
        <v>35228</v>
      </c>
      <c r="R78" s="14">
        <v>721</v>
      </c>
      <c r="S78" s="14">
        <v>1710</v>
      </c>
      <c r="T78" s="14">
        <v>12530</v>
      </c>
      <c r="U78" s="14">
        <v>927</v>
      </c>
      <c r="V78" s="14">
        <v>0</v>
      </c>
      <c r="W78" s="14">
        <v>2815</v>
      </c>
      <c r="X78" s="14">
        <v>0</v>
      </c>
      <c r="Y78" s="14">
        <v>20414</v>
      </c>
      <c r="Z78" s="14">
        <v>21801</v>
      </c>
      <c r="AA78" s="14">
        <v>30876</v>
      </c>
      <c r="AB78" s="14">
        <v>30999</v>
      </c>
      <c r="AC78" s="14">
        <v>31079</v>
      </c>
      <c r="AD78" s="14">
        <v>0</v>
      </c>
      <c r="AE78" s="14">
        <v>31003</v>
      </c>
      <c r="AF78" s="14">
        <v>0</v>
      </c>
    </row>
    <row r="79" spans="1:32">
      <c r="A79" s="1">
        <v>2375</v>
      </c>
      <c r="B79" s="11">
        <v>39782</v>
      </c>
      <c r="C79" s="14">
        <v>5198</v>
      </c>
      <c r="D79" s="14">
        <v>6818</v>
      </c>
      <c r="E79" s="14">
        <v>0</v>
      </c>
      <c r="F79" s="14">
        <v>21227</v>
      </c>
      <c r="G79" s="14">
        <v>8109</v>
      </c>
      <c r="H79" s="14">
        <v>8886</v>
      </c>
      <c r="I79" s="14">
        <v>0</v>
      </c>
      <c r="J79" s="14">
        <v>7448</v>
      </c>
      <c r="K79" s="14">
        <v>21603</v>
      </c>
      <c r="L79" s="14">
        <v>12038</v>
      </c>
      <c r="M79" s="14">
        <v>24574</v>
      </c>
      <c r="N79" s="14">
        <v>3005</v>
      </c>
      <c r="O79" s="14">
        <v>1872</v>
      </c>
      <c r="P79" s="14">
        <v>35401</v>
      </c>
      <c r="Q79" s="14">
        <v>32650</v>
      </c>
      <c r="R79" s="14">
        <v>0</v>
      </c>
      <c r="S79" s="14">
        <v>1569</v>
      </c>
      <c r="T79" s="14">
        <v>12857</v>
      </c>
      <c r="U79" s="14">
        <v>914</v>
      </c>
      <c r="V79" s="14">
        <v>0</v>
      </c>
      <c r="W79" s="14">
        <v>2627</v>
      </c>
      <c r="X79" s="14">
        <v>0</v>
      </c>
      <c r="Y79" s="14">
        <v>16426</v>
      </c>
      <c r="Z79" s="14">
        <v>20794</v>
      </c>
      <c r="AA79" s="14">
        <v>27342</v>
      </c>
      <c r="AB79" s="14">
        <v>30373</v>
      </c>
      <c r="AC79" s="14">
        <v>30512</v>
      </c>
      <c r="AD79" s="14">
        <v>0</v>
      </c>
      <c r="AE79" s="14">
        <v>30351</v>
      </c>
      <c r="AF79" s="14">
        <v>0</v>
      </c>
    </row>
    <row r="80" spans="1:32">
      <c r="A80" s="1">
        <v>2406</v>
      </c>
      <c r="B80" s="11">
        <v>39813</v>
      </c>
      <c r="C80" s="14">
        <v>3227</v>
      </c>
      <c r="D80" s="14">
        <v>2874</v>
      </c>
      <c r="E80" s="14">
        <v>0</v>
      </c>
      <c r="F80" s="14">
        <v>20337</v>
      </c>
      <c r="G80" s="14">
        <v>15588</v>
      </c>
      <c r="H80" s="14">
        <v>8346</v>
      </c>
      <c r="I80" s="14">
        <v>0</v>
      </c>
      <c r="J80" s="14">
        <v>6322</v>
      </c>
      <c r="K80" s="14">
        <v>14697</v>
      </c>
      <c r="L80" s="14">
        <v>3222</v>
      </c>
      <c r="M80" s="14">
        <v>9091</v>
      </c>
      <c r="N80" s="14">
        <v>4769</v>
      </c>
      <c r="O80" s="14">
        <v>2448</v>
      </c>
      <c r="P80" s="14">
        <v>36328</v>
      </c>
      <c r="Q80" s="14">
        <v>1081</v>
      </c>
      <c r="R80" s="14">
        <v>0</v>
      </c>
      <c r="S80" s="14">
        <v>1471</v>
      </c>
      <c r="T80" s="14">
        <v>20924</v>
      </c>
      <c r="U80" s="14">
        <v>232</v>
      </c>
      <c r="V80" s="14">
        <v>0</v>
      </c>
      <c r="W80" s="14">
        <v>380</v>
      </c>
      <c r="X80" s="14">
        <v>0</v>
      </c>
      <c r="Y80" s="14">
        <v>19148</v>
      </c>
      <c r="Z80" s="14">
        <v>26120</v>
      </c>
      <c r="AA80" s="14">
        <v>25706</v>
      </c>
      <c r="AB80" s="14">
        <v>31442</v>
      </c>
      <c r="AC80" s="14">
        <v>30672</v>
      </c>
      <c r="AD80" s="14">
        <v>2464</v>
      </c>
      <c r="AE80" s="14">
        <v>31405</v>
      </c>
      <c r="AF80" s="14">
        <v>0</v>
      </c>
    </row>
    <row r="81" spans="1:32">
      <c r="A81" s="1">
        <v>2437</v>
      </c>
      <c r="B81" s="11">
        <v>39844</v>
      </c>
      <c r="C81" s="14">
        <v>2368</v>
      </c>
      <c r="D81" s="14">
        <v>4717</v>
      </c>
      <c r="E81" s="14">
        <v>0</v>
      </c>
      <c r="F81" s="14">
        <v>21614</v>
      </c>
      <c r="G81" s="14">
        <v>4593</v>
      </c>
      <c r="H81" s="14">
        <v>7568</v>
      </c>
      <c r="I81" s="14">
        <v>0</v>
      </c>
      <c r="J81" s="14">
        <v>5824</v>
      </c>
      <c r="K81" s="14">
        <v>16818</v>
      </c>
      <c r="L81" s="14">
        <v>7356</v>
      </c>
      <c r="M81" s="14">
        <v>26296</v>
      </c>
      <c r="N81" s="14">
        <v>4779</v>
      </c>
      <c r="O81" s="14">
        <v>2597</v>
      </c>
      <c r="P81" s="14">
        <v>32741</v>
      </c>
      <c r="Q81" s="14">
        <v>953</v>
      </c>
      <c r="R81" s="14">
        <v>0</v>
      </c>
      <c r="S81" s="14">
        <v>1542</v>
      </c>
      <c r="T81" s="14">
        <v>22562</v>
      </c>
      <c r="U81" s="14">
        <v>866</v>
      </c>
      <c r="V81" s="14">
        <v>0</v>
      </c>
      <c r="W81" s="14">
        <v>867</v>
      </c>
      <c r="X81" s="14">
        <v>0</v>
      </c>
      <c r="Y81" s="14">
        <v>25772</v>
      </c>
      <c r="Z81" s="14">
        <v>29689</v>
      </c>
      <c r="AA81" s="14">
        <v>31153</v>
      </c>
      <c r="AB81" s="14">
        <v>31100</v>
      </c>
      <c r="AC81" s="14">
        <v>31473</v>
      </c>
      <c r="AD81" s="14">
        <v>30253</v>
      </c>
      <c r="AE81" s="14">
        <v>30560</v>
      </c>
      <c r="AF81" s="14">
        <v>0</v>
      </c>
    </row>
    <row r="82" spans="1:32">
      <c r="A82" s="1">
        <v>2465</v>
      </c>
      <c r="B82" s="11">
        <v>39872</v>
      </c>
      <c r="C82" s="14">
        <v>2395</v>
      </c>
      <c r="D82" s="14">
        <v>7130</v>
      </c>
      <c r="E82" s="14">
        <v>0</v>
      </c>
      <c r="F82" s="14">
        <v>19009</v>
      </c>
      <c r="G82" s="14">
        <v>6554</v>
      </c>
      <c r="H82" s="14">
        <v>6579</v>
      </c>
      <c r="I82" s="14">
        <v>0</v>
      </c>
      <c r="J82" s="14">
        <v>5657</v>
      </c>
      <c r="K82" s="14">
        <v>14905</v>
      </c>
      <c r="L82" s="14">
        <v>14688</v>
      </c>
      <c r="M82" s="14">
        <v>22694</v>
      </c>
      <c r="N82" s="14">
        <v>4141</v>
      </c>
      <c r="O82" s="14">
        <v>2896</v>
      </c>
      <c r="P82" s="14">
        <v>22579</v>
      </c>
      <c r="Q82" s="14">
        <v>540</v>
      </c>
      <c r="R82" s="14">
        <v>0</v>
      </c>
      <c r="S82" s="14">
        <v>1433</v>
      </c>
      <c r="T82" s="14">
        <v>18021</v>
      </c>
      <c r="U82" s="14">
        <v>770</v>
      </c>
      <c r="V82" s="14">
        <v>0</v>
      </c>
      <c r="W82" s="14">
        <v>1263</v>
      </c>
      <c r="X82" s="14">
        <v>0</v>
      </c>
      <c r="Y82" s="14">
        <v>17599</v>
      </c>
      <c r="Z82" s="14">
        <v>20238</v>
      </c>
      <c r="AA82" s="14">
        <v>23704</v>
      </c>
      <c r="AB82" s="14">
        <v>23441</v>
      </c>
      <c r="AC82" s="14">
        <v>23604</v>
      </c>
      <c r="AD82" s="14">
        <v>28064</v>
      </c>
      <c r="AE82" s="14">
        <v>22653</v>
      </c>
      <c r="AF82" s="14">
        <v>0</v>
      </c>
    </row>
    <row r="83" spans="1:32">
      <c r="A83" s="1">
        <v>2496</v>
      </c>
      <c r="B83" s="11">
        <v>39903</v>
      </c>
      <c r="C83" s="14">
        <v>2499</v>
      </c>
      <c r="D83" s="14">
        <v>7423</v>
      </c>
      <c r="E83" s="14">
        <v>0</v>
      </c>
      <c r="F83" s="14">
        <v>18906</v>
      </c>
      <c r="G83" s="14">
        <v>6972</v>
      </c>
      <c r="H83" s="14">
        <v>6765</v>
      </c>
      <c r="I83" s="14">
        <v>0</v>
      </c>
      <c r="J83" s="14">
        <v>5921</v>
      </c>
      <c r="K83" s="14">
        <v>14423</v>
      </c>
      <c r="L83" s="14">
        <v>14159</v>
      </c>
      <c r="M83" s="14">
        <v>13449</v>
      </c>
      <c r="N83" s="14">
        <v>4255</v>
      </c>
      <c r="O83" s="14">
        <v>4546</v>
      </c>
      <c r="P83" s="14">
        <v>27491</v>
      </c>
      <c r="Q83" s="14">
        <v>3283</v>
      </c>
      <c r="R83" s="14">
        <v>0</v>
      </c>
      <c r="S83" s="14">
        <v>1550</v>
      </c>
      <c r="T83" s="14">
        <v>18569</v>
      </c>
      <c r="U83" s="14">
        <v>819</v>
      </c>
      <c r="V83" s="14">
        <v>0</v>
      </c>
      <c r="W83" s="14">
        <v>1320</v>
      </c>
      <c r="X83" s="14">
        <v>0</v>
      </c>
      <c r="Y83" s="14">
        <v>12927</v>
      </c>
      <c r="Z83" s="14">
        <v>22517</v>
      </c>
      <c r="AA83" s="14">
        <v>30984</v>
      </c>
      <c r="AB83" s="14">
        <v>22897</v>
      </c>
      <c r="AC83" s="14">
        <v>24463</v>
      </c>
      <c r="AD83" s="14">
        <v>3966</v>
      </c>
      <c r="AE83" s="14">
        <v>23905</v>
      </c>
      <c r="AF83" s="14">
        <v>0</v>
      </c>
    </row>
    <row r="84" spans="1:32">
      <c r="A84" s="1">
        <v>2526</v>
      </c>
      <c r="B84" s="11">
        <v>39933</v>
      </c>
      <c r="C84" s="14">
        <v>2248</v>
      </c>
      <c r="D84" s="14">
        <v>6543</v>
      </c>
      <c r="E84" s="14">
        <v>0</v>
      </c>
      <c r="F84" s="14">
        <v>18334</v>
      </c>
      <c r="G84" s="14">
        <v>8422</v>
      </c>
      <c r="H84" s="14">
        <v>6159</v>
      </c>
      <c r="I84" s="14">
        <v>0</v>
      </c>
      <c r="J84" s="14">
        <v>5384</v>
      </c>
      <c r="K84" s="14">
        <v>8581</v>
      </c>
      <c r="L84" s="14">
        <v>7120</v>
      </c>
      <c r="M84" s="14">
        <v>6853</v>
      </c>
      <c r="N84" s="14">
        <v>3869</v>
      </c>
      <c r="O84" s="14">
        <v>4146</v>
      </c>
      <c r="P84" s="14">
        <v>27089</v>
      </c>
      <c r="Q84" s="14">
        <v>16974</v>
      </c>
      <c r="R84" s="14">
        <v>0</v>
      </c>
      <c r="S84" s="14">
        <v>1409</v>
      </c>
      <c r="T84" s="14">
        <v>16886</v>
      </c>
      <c r="U84" s="14">
        <v>745</v>
      </c>
      <c r="V84" s="14">
        <v>0</v>
      </c>
      <c r="W84" s="14">
        <v>1158</v>
      </c>
      <c r="X84" s="14">
        <v>0</v>
      </c>
      <c r="Y84" s="14">
        <v>10754</v>
      </c>
      <c r="Z84" s="14">
        <v>22428</v>
      </c>
      <c r="AA84" s="14">
        <v>30298</v>
      </c>
      <c r="AB84" s="14">
        <v>17310</v>
      </c>
      <c r="AC84" s="14">
        <v>17361</v>
      </c>
      <c r="AD84" s="14">
        <v>0</v>
      </c>
      <c r="AE84" s="14">
        <v>30196</v>
      </c>
      <c r="AF84" s="14">
        <v>25566</v>
      </c>
    </row>
    <row r="85" spans="1:32">
      <c r="A85" s="1">
        <v>2557</v>
      </c>
      <c r="B85" s="11">
        <v>39964</v>
      </c>
      <c r="C85" s="14">
        <v>1680</v>
      </c>
      <c r="D85" s="14">
        <v>7808</v>
      </c>
      <c r="E85" s="14">
        <v>0</v>
      </c>
      <c r="F85" s="14">
        <v>20965</v>
      </c>
      <c r="G85" s="14">
        <v>9211</v>
      </c>
      <c r="H85" s="14">
        <v>7228</v>
      </c>
      <c r="I85" s="14">
        <v>0</v>
      </c>
      <c r="J85" s="14">
        <v>6291</v>
      </c>
      <c r="K85" s="14">
        <v>14029</v>
      </c>
      <c r="L85" s="14">
        <v>13122</v>
      </c>
      <c r="M85" s="14">
        <v>16725</v>
      </c>
      <c r="N85" s="14">
        <v>4427</v>
      </c>
      <c r="O85" s="14">
        <v>6157</v>
      </c>
      <c r="P85" s="14">
        <v>38932</v>
      </c>
      <c r="Q85" s="14">
        <v>20688</v>
      </c>
      <c r="R85" s="14">
        <v>0</v>
      </c>
      <c r="S85" s="14">
        <v>1523</v>
      </c>
      <c r="T85" s="14">
        <v>19055</v>
      </c>
      <c r="U85" s="14">
        <v>1019</v>
      </c>
      <c r="V85" s="14">
        <v>0</v>
      </c>
      <c r="W85" s="14">
        <v>1111</v>
      </c>
      <c r="X85" s="14">
        <v>0</v>
      </c>
      <c r="Y85" s="14">
        <v>17967</v>
      </c>
      <c r="Z85" s="14">
        <v>22470</v>
      </c>
      <c r="AA85" s="14">
        <v>30383</v>
      </c>
      <c r="AB85" s="14">
        <v>30758</v>
      </c>
      <c r="AC85" s="14">
        <v>31007</v>
      </c>
      <c r="AD85" s="14">
        <v>0</v>
      </c>
      <c r="AE85" s="14">
        <v>30801</v>
      </c>
      <c r="AF85" s="14">
        <v>24134</v>
      </c>
    </row>
    <row r="86" spans="1:32">
      <c r="A86" s="1">
        <v>2587</v>
      </c>
      <c r="B86" s="11">
        <v>39994</v>
      </c>
      <c r="C86" s="14">
        <v>1030</v>
      </c>
      <c r="D86" s="14">
        <v>7896</v>
      </c>
      <c r="E86" s="14">
        <v>0</v>
      </c>
      <c r="F86" s="14">
        <v>19459</v>
      </c>
      <c r="G86" s="14">
        <v>9179</v>
      </c>
      <c r="H86" s="14">
        <v>7192</v>
      </c>
      <c r="I86" s="14">
        <v>0</v>
      </c>
      <c r="J86" s="14">
        <v>6255</v>
      </c>
      <c r="K86" s="14">
        <v>15881</v>
      </c>
      <c r="L86" s="14">
        <v>14025</v>
      </c>
      <c r="M86" s="14">
        <v>15030</v>
      </c>
      <c r="N86" s="14">
        <v>4537</v>
      </c>
      <c r="O86" s="14">
        <v>6036</v>
      </c>
      <c r="P86" s="14">
        <v>31930</v>
      </c>
      <c r="Q86" s="14">
        <v>15765</v>
      </c>
      <c r="R86" s="14">
        <v>0</v>
      </c>
      <c r="S86" s="14">
        <v>1497</v>
      </c>
      <c r="T86" s="14">
        <v>20957</v>
      </c>
      <c r="U86" s="14">
        <v>1807</v>
      </c>
      <c r="V86" s="14">
        <v>0</v>
      </c>
      <c r="W86" s="14">
        <v>11</v>
      </c>
      <c r="X86" s="14">
        <v>0</v>
      </c>
      <c r="Y86" s="14">
        <v>6256</v>
      </c>
      <c r="Z86" s="14">
        <v>17601</v>
      </c>
      <c r="AA86" s="14">
        <v>28310</v>
      </c>
      <c r="AB86" s="14">
        <v>29949</v>
      </c>
      <c r="AC86" s="14">
        <v>31669</v>
      </c>
      <c r="AD86" s="14">
        <v>19636</v>
      </c>
      <c r="AE86" s="14">
        <v>31484</v>
      </c>
      <c r="AF86" s="14">
        <v>0</v>
      </c>
    </row>
    <row r="87" spans="1:32">
      <c r="A87" s="1">
        <v>2618</v>
      </c>
      <c r="B87" s="11">
        <v>40025</v>
      </c>
      <c r="C87" s="14">
        <v>1140</v>
      </c>
      <c r="D87" s="14">
        <v>8775</v>
      </c>
      <c r="E87" s="14">
        <v>0</v>
      </c>
      <c r="F87" s="14">
        <v>15003</v>
      </c>
      <c r="G87" s="14">
        <v>11603</v>
      </c>
      <c r="H87" s="14">
        <v>7991</v>
      </c>
      <c r="I87" s="14">
        <v>0</v>
      </c>
      <c r="J87" s="14">
        <v>6928</v>
      </c>
      <c r="K87" s="14">
        <v>7150</v>
      </c>
      <c r="L87" s="14">
        <v>13121</v>
      </c>
      <c r="M87" s="14">
        <v>15800</v>
      </c>
      <c r="N87" s="14">
        <v>5054</v>
      </c>
      <c r="O87" s="14">
        <v>6989</v>
      </c>
      <c r="P87" s="14">
        <v>0</v>
      </c>
      <c r="Q87" s="14">
        <v>16081</v>
      </c>
      <c r="R87" s="14">
        <v>0</v>
      </c>
      <c r="S87" s="14">
        <v>1564</v>
      </c>
      <c r="T87" s="14">
        <v>23248</v>
      </c>
      <c r="U87" s="14">
        <v>2002</v>
      </c>
      <c r="V87" s="14">
        <v>0</v>
      </c>
      <c r="W87" s="14">
        <v>151</v>
      </c>
      <c r="X87" s="14">
        <v>0</v>
      </c>
      <c r="Y87" s="14">
        <v>0</v>
      </c>
      <c r="Z87" s="14">
        <v>12660</v>
      </c>
      <c r="AA87" s="14">
        <v>34705</v>
      </c>
      <c r="AB87" s="14">
        <v>34996</v>
      </c>
      <c r="AC87" s="14">
        <v>26868</v>
      </c>
      <c r="AD87" s="14">
        <v>34983</v>
      </c>
      <c r="AE87" s="14">
        <v>34705</v>
      </c>
      <c r="AF87" s="14">
        <v>0</v>
      </c>
    </row>
    <row r="88" spans="1:32">
      <c r="A88" s="1">
        <v>2649</v>
      </c>
      <c r="B88" s="11">
        <v>40056</v>
      </c>
      <c r="C88" s="14">
        <v>1236</v>
      </c>
      <c r="D88" s="14">
        <v>9530</v>
      </c>
      <c r="E88" s="14">
        <v>0</v>
      </c>
      <c r="F88" s="14">
        <v>11930</v>
      </c>
      <c r="G88" s="14">
        <v>10762</v>
      </c>
      <c r="H88" s="14">
        <v>8723</v>
      </c>
      <c r="I88" s="14">
        <v>0</v>
      </c>
      <c r="J88" s="14">
        <v>7545</v>
      </c>
      <c r="K88" s="14">
        <v>0</v>
      </c>
      <c r="L88" s="14">
        <v>17037</v>
      </c>
      <c r="M88" s="14">
        <v>17238</v>
      </c>
      <c r="N88" s="14">
        <v>5513</v>
      </c>
      <c r="O88" s="14">
        <v>7590</v>
      </c>
      <c r="P88" s="14">
        <v>0</v>
      </c>
      <c r="Q88" s="14">
        <v>17525</v>
      </c>
      <c r="R88" s="14">
        <v>0</v>
      </c>
      <c r="S88" s="14">
        <v>1628</v>
      </c>
      <c r="T88" s="14">
        <v>25478</v>
      </c>
      <c r="U88" s="14">
        <v>1307</v>
      </c>
      <c r="V88" s="14">
        <v>0</v>
      </c>
      <c r="W88" s="14">
        <v>567</v>
      </c>
      <c r="X88" s="14">
        <v>0</v>
      </c>
      <c r="Y88" s="14">
        <v>0</v>
      </c>
      <c r="Z88" s="14">
        <v>21847</v>
      </c>
      <c r="AA88" s="14">
        <v>30747</v>
      </c>
      <c r="AB88" s="14">
        <v>23693</v>
      </c>
      <c r="AC88" s="14">
        <v>27094</v>
      </c>
      <c r="AD88" s="14">
        <v>30696</v>
      </c>
      <c r="AE88" s="14">
        <v>30711</v>
      </c>
      <c r="AF88" s="14">
        <v>0</v>
      </c>
    </row>
    <row r="89" spans="1:32">
      <c r="A89" s="1">
        <v>2679</v>
      </c>
      <c r="B89" s="11">
        <v>40086</v>
      </c>
      <c r="C89" s="14">
        <v>20</v>
      </c>
      <c r="D89" s="14">
        <v>4214</v>
      </c>
      <c r="E89" s="14">
        <v>0</v>
      </c>
      <c r="F89" s="14">
        <v>11043</v>
      </c>
      <c r="G89" s="14">
        <v>6624</v>
      </c>
      <c r="H89" s="14">
        <v>9195</v>
      </c>
      <c r="I89" s="14">
        <v>0</v>
      </c>
      <c r="J89" s="14">
        <v>7630</v>
      </c>
      <c r="K89" s="14">
        <v>0</v>
      </c>
      <c r="L89" s="14">
        <v>17777</v>
      </c>
      <c r="M89" s="14">
        <v>18187</v>
      </c>
      <c r="N89" s="14">
        <v>5831</v>
      </c>
      <c r="O89" s="14">
        <v>7984</v>
      </c>
      <c r="P89" s="14">
        <v>0</v>
      </c>
      <c r="Q89" s="14">
        <v>18460</v>
      </c>
      <c r="R89" s="14">
        <v>0</v>
      </c>
      <c r="S89" s="14">
        <v>2300</v>
      </c>
      <c r="T89" s="14">
        <v>26109</v>
      </c>
      <c r="U89" s="14">
        <v>914</v>
      </c>
      <c r="V89" s="14">
        <v>0</v>
      </c>
      <c r="W89" s="14">
        <v>0</v>
      </c>
      <c r="X89" s="14">
        <v>0</v>
      </c>
      <c r="Y89" s="14">
        <v>0</v>
      </c>
      <c r="Z89" s="14">
        <v>28851</v>
      </c>
      <c r="AA89" s="14">
        <v>29867</v>
      </c>
      <c r="AB89" s="14">
        <v>29085</v>
      </c>
      <c r="AC89" s="14">
        <v>30012</v>
      </c>
      <c r="AD89" s="14">
        <v>22288</v>
      </c>
      <c r="AE89" s="14">
        <v>5060</v>
      </c>
      <c r="AF89" s="14">
        <v>0</v>
      </c>
    </row>
    <row r="90" spans="1:32">
      <c r="A90" s="1">
        <v>2710</v>
      </c>
      <c r="B90" s="11">
        <v>40117</v>
      </c>
      <c r="C90" s="14">
        <v>0</v>
      </c>
      <c r="D90" s="14">
        <v>10317</v>
      </c>
      <c r="E90" s="14">
        <v>0</v>
      </c>
      <c r="F90" s="14">
        <v>6649</v>
      </c>
      <c r="G90" s="14">
        <v>128</v>
      </c>
      <c r="H90" s="14">
        <v>9437</v>
      </c>
      <c r="I90" s="14">
        <v>0</v>
      </c>
      <c r="J90" s="14">
        <v>6715</v>
      </c>
      <c r="K90" s="14">
        <v>0</v>
      </c>
      <c r="L90" s="14">
        <v>12036</v>
      </c>
      <c r="M90" s="14">
        <v>18307</v>
      </c>
      <c r="N90" s="14">
        <v>5983</v>
      </c>
      <c r="O90" s="14">
        <v>8200</v>
      </c>
      <c r="P90" s="14">
        <v>0</v>
      </c>
      <c r="Q90" s="14">
        <v>18952</v>
      </c>
      <c r="R90" s="14">
        <v>0</v>
      </c>
      <c r="S90" s="14">
        <v>9610</v>
      </c>
      <c r="T90" s="14">
        <v>26642</v>
      </c>
      <c r="U90" s="14">
        <v>11895</v>
      </c>
      <c r="V90" s="14">
        <v>0</v>
      </c>
      <c r="W90" s="14">
        <v>0</v>
      </c>
      <c r="X90" s="14">
        <v>0</v>
      </c>
      <c r="Y90" s="14">
        <v>0</v>
      </c>
      <c r="Z90" s="14">
        <v>30286</v>
      </c>
      <c r="AA90" s="14">
        <v>23652</v>
      </c>
      <c r="AB90" s="14">
        <v>30247</v>
      </c>
      <c r="AC90" s="14">
        <v>17965</v>
      </c>
      <c r="AD90" s="14">
        <v>0</v>
      </c>
      <c r="AE90" s="14">
        <v>0</v>
      </c>
      <c r="AF90" s="14">
        <v>0</v>
      </c>
    </row>
    <row r="91" spans="1:32">
      <c r="A91" s="1">
        <v>2740</v>
      </c>
      <c r="B91" s="11">
        <v>40147</v>
      </c>
      <c r="C91" s="14">
        <v>0</v>
      </c>
      <c r="D91" s="14">
        <v>12914</v>
      </c>
      <c r="E91" s="14">
        <v>0</v>
      </c>
      <c r="F91" s="14">
        <v>2568</v>
      </c>
      <c r="G91" s="14">
        <v>0</v>
      </c>
      <c r="H91" s="14">
        <v>9151</v>
      </c>
      <c r="I91" s="14">
        <v>0</v>
      </c>
      <c r="J91" s="14">
        <v>6194</v>
      </c>
      <c r="K91" s="14">
        <v>0</v>
      </c>
      <c r="L91" s="14">
        <v>11676</v>
      </c>
      <c r="M91" s="14">
        <v>17758</v>
      </c>
      <c r="N91" s="14">
        <v>5804</v>
      </c>
      <c r="O91" s="14">
        <v>3160</v>
      </c>
      <c r="P91" s="14">
        <v>0</v>
      </c>
      <c r="Q91" s="14">
        <v>18369</v>
      </c>
      <c r="R91" s="14">
        <v>0</v>
      </c>
      <c r="S91" s="14">
        <v>10633</v>
      </c>
      <c r="T91" s="14">
        <v>25844</v>
      </c>
      <c r="U91" s="14">
        <v>11507</v>
      </c>
      <c r="V91" s="14">
        <v>0</v>
      </c>
      <c r="W91" s="14">
        <v>0</v>
      </c>
      <c r="X91" s="14">
        <v>0</v>
      </c>
      <c r="Y91" s="14">
        <v>0</v>
      </c>
      <c r="Z91" s="14">
        <v>6773</v>
      </c>
      <c r="AA91" s="14">
        <v>26703</v>
      </c>
      <c r="AB91" s="14">
        <v>26675</v>
      </c>
      <c r="AC91" s="14">
        <v>29657</v>
      </c>
      <c r="AD91" s="14">
        <v>0</v>
      </c>
      <c r="AE91" s="14">
        <v>0</v>
      </c>
      <c r="AF91" s="14">
        <v>0</v>
      </c>
    </row>
    <row r="92" spans="1:32">
      <c r="A92" s="1">
        <v>2771</v>
      </c>
      <c r="B92" s="11">
        <v>40178</v>
      </c>
      <c r="C92" s="14">
        <v>0</v>
      </c>
      <c r="D92" s="14">
        <v>10089</v>
      </c>
      <c r="E92" s="14">
        <v>0</v>
      </c>
      <c r="F92" s="14">
        <v>0</v>
      </c>
      <c r="G92" s="14">
        <v>0</v>
      </c>
      <c r="H92" s="14">
        <v>9206</v>
      </c>
      <c r="I92" s="14">
        <v>0</v>
      </c>
      <c r="J92" s="14">
        <v>2742</v>
      </c>
      <c r="K92" s="14">
        <v>0</v>
      </c>
      <c r="L92" s="14">
        <v>10137</v>
      </c>
      <c r="M92" s="14">
        <v>17858</v>
      </c>
      <c r="N92" s="14">
        <v>5836</v>
      </c>
      <c r="O92" s="14">
        <v>10187</v>
      </c>
      <c r="P92" s="14">
        <v>0</v>
      </c>
      <c r="Q92" s="14">
        <v>18342</v>
      </c>
      <c r="R92" s="14">
        <v>0</v>
      </c>
      <c r="S92" s="14">
        <v>10812</v>
      </c>
      <c r="T92" s="14">
        <v>25988</v>
      </c>
      <c r="U92" s="14">
        <v>11603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18109</v>
      </c>
      <c r="AB92" s="14">
        <v>18003</v>
      </c>
      <c r="AC92" s="14">
        <v>19404</v>
      </c>
      <c r="AD92" s="14">
        <v>0</v>
      </c>
      <c r="AE92" s="14">
        <v>0</v>
      </c>
      <c r="AF92" s="14">
        <v>0</v>
      </c>
    </row>
    <row r="93" spans="1:32">
      <c r="A93" s="1">
        <v>2802</v>
      </c>
      <c r="B93" s="11">
        <v>40209</v>
      </c>
      <c r="C93" s="14">
        <v>0</v>
      </c>
      <c r="D93" s="14">
        <v>3773</v>
      </c>
      <c r="E93" s="14">
        <v>0</v>
      </c>
      <c r="F93" s="14">
        <v>0</v>
      </c>
      <c r="G93" s="14">
        <v>0</v>
      </c>
      <c r="H93" s="14">
        <v>9543</v>
      </c>
      <c r="I93" s="14">
        <v>0</v>
      </c>
      <c r="J93" s="14">
        <v>2008</v>
      </c>
      <c r="K93" s="14">
        <v>0</v>
      </c>
      <c r="L93" s="14">
        <v>8180</v>
      </c>
      <c r="M93" s="14">
        <v>18520</v>
      </c>
      <c r="N93" s="14">
        <v>6054</v>
      </c>
      <c r="O93" s="14">
        <v>10404</v>
      </c>
      <c r="P93" s="14">
        <v>0</v>
      </c>
      <c r="Q93" s="14">
        <v>18867</v>
      </c>
      <c r="R93" s="14">
        <v>0</v>
      </c>
      <c r="S93" s="14">
        <v>10982</v>
      </c>
      <c r="T93" s="14">
        <v>27082</v>
      </c>
      <c r="U93" s="14">
        <v>12052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16653</v>
      </c>
      <c r="AB93" s="14">
        <v>16744</v>
      </c>
      <c r="AC93" s="14">
        <v>16555</v>
      </c>
      <c r="AD93" s="14">
        <v>0</v>
      </c>
      <c r="AE93" s="14">
        <v>0</v>
      </c>
      <c r="AF93" s="14">
        <v>0</v>
      </c>
    </row>
    <row r="94" spans="1:32">
      <c r="A94" s="1">
        <v>2830</v>
      </c>
      <c r="B94" s="11">
        <v>40237</v>
      </c>
      <c r="C94" s="14">
        <v>1867</v>
      </c>
      <c r="D94" s="14">
        <v>10424</v>
      </c>
      <c r="E94" s="14">
        <v>0</v>
      </c>
      <c r="F94" s="14">
        <v>0</v>
      </c>
      <c r="G94" s="14">
        <v>0</v>
      </c>
      <c r="H94" s="14">
        <v>9331</v>
      </c>
      <c r="I94" s="14">
        <v>0</v>
      </c>
      <c r="J94" s="14">
        <v>1417</v>
      </c>
      <c r="K94" s="14">
        <v>0</v>
      </c>
      <c r="L94" s="14">
        <v>8005</v>
      </c>
      <c r="M94" s="14">
        <v>10967</v>
      </c>
      <c r="N94" s="14">
        <v>5927</v>
      </c>
      <c r="O94" s="14">
        <v>10120</v>
      </c>
      <c r="P94" s="14">
        <v>0</v>
      </c>
      <c r="Q94" s="14">
        <v>14173</v>
      </c>
      <c r="R94" s="14">
        <v>0</v>
      </c>
      <c r="S94" s="14">
        <v>9849</v>
      </c>
      <c r="T94" s="14">
        <v>20577</v>
      </c>
      <c r="U94" s="14">
        <v>11648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1211</v>
      </c>
      <c r="AB94" s="14">
        <v>1214</v>
      </c>
      <c r="AC94" s="14">
        <v>1216</v>
      </c>
      <c r="AD94" s="14">
        <v>0</v>
      </c>
      <c r="AE94" s="14">
        <v>0</v>
      </c>
      <c r="AF94" s="1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4"/>
  <sheetViews>
    <sheetView zoomScale="74" zoomScaleNormal="74" workbookViewId="0">
      <pane xSplit="2" ySplit="1" topLeftCell="N22" activePane="bottomRight" state="frozen"/>
      <selection/>
      <selection pane="topRight"/>
      <selection pane="bottomLeft"/>
      <selection pane="bottomRight" activeCell="C1" sqref="C1:AF1"/>
    </sheetView>
  </sheetViews>
  <sheetFormatPr defaultColWidth="9" defaultRowHeight="14.25"/>
  <cols>
    <col min="2" max="2" width="10.45" style="12" customWidth="1"/>
    <col min="3" max="7" width="11.8166666666667" customWidth="1"/>
    <col min="8" max="8" width="10.45" customWidth="1"/>
    <col min="9" max="15" width="11.8166666666667" customWidth="1"/>
    <col min="16" max="16" width="12.2666666666667" customWidth="1"/>
    <col min="17" max="19" width="11.8166666666667" customWidth="1"/>
    <col min="20" max="20" width="12.2666666666667" customWidth="1"/>
    <col min="21" max="32" width="11.8166666666667" customWidth="1"/>
  </cols>
  <sheetData>
    <row r="1" spans="1:32">
      <c r="A1" s="1" t="s">
        <v>33</v>
      </c>
      <c r="B1" s="13" t="s">
        <v>34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</row>
    <row r="2" spans="1:32">
      <c r="A2" s="1">
        <v>30</v>
      </c>
      <c r="B2" s="13">
        <v>37437</v>
      </c>
      <c r="C2" s="14">
        <v>0</v>
      </c>
      <c r="D2" s="14">
        <v>157.033333333333</v>
      </c>
      <c r="E2" s="14">
        <v>141.8</v>
      </c>
      <c r="F2" s="14">
        <v>731.4</v>
      </c>
      <c r="G2" s="14">
        <v>102.166666666667</v>
      </c>
      <c r="H2" s="14">
        <v>0</v>
      </c>
      <c r="I2" s="14">
        <v>0</v>
      </c>
      <c r="J2" s="14">
        <v>237.466666666667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4372.76666666667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</row>
    <row r="3" spans="1:32">
      <c r="A3" s="1">
        <v>61</v>
      </c>
      <c r="B3" s="13">
        <v>37468</v>
      </c>
      <c r="C3" s="14">
        <v>0</v>
      </c>
      <c r="D3" s="14">
        <v>144.677419354839</v>
      </c>
      <c r="E3" s="14">
        <v>145.967741935484</v>
      </c>
      <c r="F3" s="14">
        <v>697.838709677419</v>
      </c>
      <c r="G3" s="14">
        <v>77.4193548387097</v>
      </c>
      <c r="H3" s="14">
        <v>0</v>
      </c>
      <c r="I3" s="14">
        <v>0</v>
      </c>
      <c r="J3" s="14">
        <v>356.032258064516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5048.25806451613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</row>
    <row r="4" spans="1:32">
      <c r="A4" s="1">
        <v>92</v>
      </c>
      <c r="B4" s="13">
        <v>37499</v>
      </c>
      <c r="C4" s="14">
        <v>71.9354838709677</v>
      </c>
      <c r="D4" s="14">
        <v>130.709677419355</v>
      </c>
      <c r="E4" s="14">
        <v>138.483870967742</v>
      </c>
      <c r="F4" s="14">
        <v>1110.29032258065</v>
      </c>
      <c r="G4" s="14">
        <v>160.032258064516</v>
      </c>
      <c r="H4" s="14">
        <v>0</v>
      </c>
      <c r="I4" s="14">
        <v>0</v>
      </c>
      <c r="J4" s="14">
        <v>256.354838709677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5534.87096774194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</row>
    <row r="5" spans="1:32">
      <c r="A5" s="1">
        <v>122</v>
      </c>
      <c r="B5" s="13">
        <v>37529</v>
      </c>
      <c r="C5" s="14">
        <v>247.166666666667</v>
      </c>
      <c r="D5" s="14">
        <v>136.566666666667</v>
      </c>
      <c r="E5" s="14">
        <v>89.3666666666667</v>
      </c>
      <c r="F5" s="14">
        <v>1160.9</v>
      </c>
      <c r="G5" s="14">
        <v>399.666666666667</v>
      </c>
      <c r="H5" s="14">
        <v>0</v>
      </c>
      <c r="I5" s="14">
        <v>0</v>
      </c>
      <c r="J5" s="14">
        <v>165.966666666667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5107.7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</row>
    <row r="6" spans="1:32">
      <c r="A6" s="1">
        <v>153</v>
      </c>
      <c r="B6" s="13">
        <v>37560</v>
      </c>
      <c r="C6" s="14">
        <v>298.516129032258</v>
      </c>
      <c r="D6" s="14">
        <v>139.677419354839</v>
      </c>
      <c r="E6" s="14">
        <v>147.774193548387</v>
      </c>
      <c r="F6" s="14">
        <v>1090.58064516129</v>
      </c>
      <c r="G6" s="14">
        <v>461.548387096774</v>
      </c>
      <c r="H6" s="14">
        <v>0</v>
      </c>
      <c r="I6" s="14">
        <v>0</v>
      </c>
      <c r="J6" s="14">
        <v>195.322580645161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5164.58064516129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</row>
    <row r="7" spans="1:32">
      <c r="A7" s="1">
        <v>183</v>
      </c>
      <c r="B7" s="13">
        <v>37590</v>
      </c>
      <c r="C7" s="14">
        <v>345.766666666667</v>
      </c>
      <c r="D7" s="14">
        <v>178.466666666667</v>
      </c>
      <c r="E7" s="14">
        <v>191.866666666667</v>
      </c>
      <c r="F7" s="14">
        <v>1058.4</v>
      </c>
      <c r="G7" s="14">
        <v>310.133333333333</v>
      </c>
      <c r="H7" s="14">
        <v>0</v>
      </c>
      <c r="I7" s="14">
        <v>0</v>
      </c>
      <c r="J7" s="14">
        <v>275.1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5269.16666666667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</row>
    <row r="8" spans="1:32">
      <c r="A8" s="1">
        <v>214</v>
      </c>
      <c r="B8" s="13">
        <v>37621</v>
      </c>
      <c r="C8" s="14">
        <v>456.967741935484</v>
      </c>
      <c r="D8" s="14">
        <v>160.032258064516</v>
      </c>
      <c r="E8" s="14">
        <v>199.258064516129</v>
      </c>
      <c r="F8" s="14">
        <v>1055.41935483871</v>
      </c>
      <c r="G8" s="14">
        <v>262.064516129032</v>
      </c>
      <c r="H8" s="14">
        <v>0</v>
      </c>
      <c r="I8" s="14">
        <v>0</v>
      </c>
      <c r="J8" s="14">
        <v>204.967741935484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4400.70967741936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</row>
    <row r="9" spans="1:32">
      <c r="A9" s="1">
        <v>245</v>
      </c>
      <c r="B9" s="13">
        <v>37652</v>
      </c>
      <c r="C9" s="14">
        <v>86.741935483871</v>
      </c>
      <c r="D9" s="14">
        <v>118.903225806452</v>
      </c>
      <c r="E9" s="14">
        <v>126.161290322581</v>
      </c>
      <c r="F9" s="14">
        <v>927.612903225806</v>
      </c>
      <c r="G9" s="14">
        <v>284.032258064516</v>
      </c>
      <c r="H9" s="14">
        <v>0</v>
      </c>
      <c r="I9" s="14">
        <v>0</v>
      </c>
      <c r="J9" s="14">
        <v>205.967741935484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4052.03225806452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</row>
    <row r="10" spans="1:32">
      <c r="A10" s="1">
        <v>273</v>
      </c>
      <c r="B10" s="13">
        <v>37680</v>
      </c>
      <c r="C10" s="14">
        <v>131.035714285714</v>
      </c>
      <c r="D10" s="14">
        <v>119.785714285714</v>
      </c>
      <c r="E10" s="14">
        <v>84.3928571428571</v>
      </c>
      <c r="F10" s="14">
        <v>993.428571428571</v>
      </c>
      <c r="G10" s="14">
        <v>472.285714285714</v>
      </c>
      <c r="H10" s="14">
        <v>0</v>
      </c>
      <c r="I10" s="14">
        <v>0</v>
      </c>
      <c r="J10" s="14">
        <v>257.5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4210.71428571429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</row>
    <row r="11" spans="1:32">
      <c r="A11" s="1">
        <v>304</v>
      </c>
      <c r="B11" s="13">
        <v>37711</v>
      </c>
      <c r="C11" s="14">
        <v>103.451612903226</v>
      </c>
      <c r="D11" s="14">
        <v>122</v>
      </c>
      <c r="E11" s="14">
        <v>138.41935483871</v>
      </c>
      <c r="F11" s="14">
        <v>870.161290322581</v>
      </c>
      <c r="G11" s="14">
        <v>575.258064516129</v>
      </c>
      <c r="H11" s="14">
        <v>0</v>
      </c>
      <c r="I11" s="14">
        <v>0</v>
      </c>
      <c r="J11" s="14">
        <v>274.354838709677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2811.54838709677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</row>
    <row r="12" spans="1:32">
      <c r="A12" s="1">
        <v>334</v>
      </c>
      <c r="B12" s="13">
        <v>37741</v>
      </c>
      <c r="C12" s="14">
        <v>154.966666666667</v>
      </c>
      <c r="D12" s="14">
        <v>131.833333333333</v>
      </c>
      <c r="E12" s="14">
        <v>51.6666666666667</v>
      </c>
      <c r="F12" s="14">
        <v>847.1</v>
      </c>
      <c r="G12" s="14">
        <v>595.466666666667</v>
      </c>
      <c r="H12" s="14">
        <v>0</v>
      </c>
      <c r="I12" s="14">
        <v>0</v>
      </c>
      <c r="J12" s="14">
        <v>271.966666666667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4177.1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</row>
    <row r="13" spans="1:32">
      <c r="A13" s="1">
        <v>365</v>
      </c>
      <c r="B13" s="13">
        <v>37772</v>
      </c>
      <c r="C13" s="14">
        <v>129.290322580645</v>
      </c>
      <c r="D13" s="14">
        <v>222.387096774194</v>
      </c>
      <c r="E13" s="14">
        <v>37.9032258064516</v>
      </c>
      <c r="F13" s="14">
        <v>974.677419354839</v>
      </c>
      <c r="G13" s="14">
        <v>583.677419354839</v>
      </c>
      <c r="H13" s="14">
        <v>0</v>
      </c>
      <c r="I13" s="14">
        <v>0</v>
      </c>
      <c r="J13" s="14">
        <v>216.41935483871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3655.64516129032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</row>
    <row r="14" spans="1:32">
      <c r="A14" s="1">
        <v>395</v>
      </c>
      <c r="B14" s="13">
        <v>37802</v>
      </c>
      <c r="C14" s="14">
        <v>158.4</v>
      </c>
      <c r="D14" s="14">
        <v>220.433333333333</v>
      </c>
      <c r="E14" s="14">
        <v>197.766666666667</v>
      </c>
      <c r="F14" s="14">
        <v>901.8</v>
      </c>
      <c r="G14" s="14">
        <v>635.666666666667</v>
      </c>
      <c r="H14" s="14">
        <v>0</v>
      </c>
      <c r="I14" s="14">
        <v>0</v>
      </c>
      <c r="J14" s="14">
        <v>260.466666666667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4011.9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</row>
    <row r="15" spans="1:32">
      <c r="A15" s="1">
        <v>426</v>
      </c>
      <c r="B15" s="13">
        <v>37833</v>
      </c>
      <c r="C15" s="14">
        <v>224</v>
      </c>
      <c r="D15" s="14">
        <v>223.516129032258</v>
      </c>
      <c r="E15" s="14">
        <v>159</v>
      </c>
      <c r="F15" s="14">
        <v>940.290322580645</v>
      </c>
      <c r="G15" s="14">
        <v>585.870967741935</v>
      </c>
      <c r="H15" s="14">
        <v>0</v>
      </c>
      <c r="I15" s="14">
        <v>0</v>
      </c>
      <c r="J15" s="14">
        <v>366.806451612903</v>
      </c>
      <c r="K15" s="14">
        <v>331.838709677419</v>
      </c>
      <c r="L15" s="14">
        <v>114.806451612903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2391.96774193548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</row>
    <row r="16" spans="1:32">
      <c r="A16" s="1">
        <v>457</v>
      </c>
      <c r="B16" s="13">
        <v>37864</v>
      </c>
      <c r="C16" s="14">
        <v>231.322580645161</v>
      </c>
      <c r="D16" s="14">
        <v>154.677419354839</v>
      </c>
      <c r="E16" s="14">
        <v>166.612903225806</v>
      </c>
      <c r="F16" s="14">
        <v>959.322580645161</v>
      </c>
      <c r="G16" s="14">
        <v>496.322580645161</v>
      </c>
      <c r="H16" s="14">
        <v>0</v>
      </c>
      <c r="I16" s="14">
        <v>0</v>
      </c>
      <c r="J16" s="14">
        <v>302.129032258065</v>
      </c>
      <c r="K16" s="14">
        <v>422.903225806452</v>
      </c>
      <c r="L16" s="14">
        <v>756.354838709677</v>
      </c>
      <c r="M16" s="14">
        <v>102.774193548387</v>
      </c>
      <c r="N16" s="14">
        <v>330.193548387097</v>
      </c>
      <c r="O16" s="14">
        <v>48.3870967741936</v>
      </c>
      <c r="P16" s="14">
        <v>152.903225806452</v>
      </c>
      <c r="Q16" s="14">
        <v>182.451612903226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</row>
    <row r="17" spans="1:32">
      <c r="A17" s="1">
        <v>487</v>
      </c>
      <c r="B17" s="13">
        <v>37894</v>
      </c>
      <c r="C17" s="14">
        <v>307.333333333333</v>
      </c>
      <c r="D17" s="14">
        <v>74.9333333333333</v>
      </c>
      <c r="E17" s="14">
        <v>113.9</v>
      </c>
      <c r="F17" s="14">
        <v>994.666666666667</v>
      </c>
      <c r="G17" s="14">
        <v>488.133333333333</v>
      </c>
      <c r="H17" s="14">
        <v>0</v>
      </c>
      <c r="I17" s="14">
        <v>0</v>
      </c>
      <c r="J17" s="14">
        <v>264.333333333333</v>
      </c>
      <c r="K17" s="14">
        <v>432.2</v>
      </c>
      <c r="L17" s="14">
        <v>601.033333333333</v>
      </c>
      <c r="M17" s="14">
        <v>560.3</v>
      </c>
      <c r="N17" s="14">
        <v>134.266666666667</v>
      </c>
      <c r="O17" s="14">
        <v>274.966666666667</v>
      </c>
      <c r="P17" s="14">
        <v>826.666666666667</v>
      </c>
      <c r="Q17" s="14">
        <v>1230.86666666667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86.6666666666667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</row>
    <row r="18" spans="1:32">
      <c r="A18" s="1">
        <v>518</v>
      </c>
      <c r="B18" s="13">
        <v>37925</v>
      </c>
      <c r="C18" s="14">
        <v>222.935483870968</v>
      </c>
      <c r="D18" s="14">
        <v>95.4516129032258</v>
      </c>
      <c r="E18" s="14">
        <v>130.032258064516</v>
      </c>
      <c r="F18" s="14">
        <v>770.096774193548</v>
      </c>
      <c r="G18" s="14">
        <v>448.129032258065</v>
      </c>
      <c r="H18" s="14">
        <v>0</v>
      </c>
      <c r="I18" s="14">
        <v>0</v>
      </c>
      <c r="J18" s="14">
        <v>251.161290322581</v>
      </c>
      <c r="K18" s="14">
        <v>404.387096774194</v>
      </c>
      <c r="L18" s="14">
        <v>508.354838709677</v>
      </c>
      <c r="M18" s="14">
        <v>442.451612903226</v>
      </c>
      <c r="N18" s="14">
        <v>312.483870967742</v>
      </c>
      <c r="O18" s="14">
        <v>158.354838709677</v>
      </c>
      <c r="P18" s="14">
        <v>998.774193548387</v>
      </c>
      <c r="Q18" s="14">
        <v>1227.48387096774</v>
      </c>
      <c r="R18" s="14">
        <v>29.1935483870968</v>
      </c>
      <c r="S18" s="14">
        <v>30.0322580645161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0.0967741935483871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>
      <c r="A19" s="1">
        <v>548</v>
      </c>
      <c r="B19" s="13">
        <v>37955</v>
      </c>
      <c r="C19" s="14">
        <v>92.0666666666667</v>
      </c>
      <c r="D19" s="14">
        <v>129.933333333333</v>
      </c>
      <c r="E19" s="14">
        <v>75.8</v>
      </c>
      <c r="F19" s="14">
        <v>1063.06666666667</v>
      </c>
      <c r="G19" s="14">
        <v>178.8</v>
      </c>
      <c r="H19" s="14">
        <v>0</v>
      </c>
      <c r="I19" s="14">
        <v>0</v>
      </c>
      <c r="J19" s="14">
        <v>311.666666666667</v>
      </c>
      <c r="K19" s="14">
        <v>475.566666666667</v>
      </c>
      <c r="L19" s="14">
        <v>564.133333333333</v>
      </c>
      <c r="M19" s="14">
        <v>465.5</v>
      </c>
      <c r="N19" s="14">
        <v>292.166666666667</v>
      </c>
      <c r="O19" s="14">
        <v>132.433333333333</v>
      </c>
      <c r="P19" s="14">
        <v>959.733333333333</v>
      </c>
      <c r="Q19" s="14">
        <v>1156.76666666667</v>
      </c>
      <c r="R19" s="14">
        <v>29</v>
      </c>
      <c r="S19" s="14">
        <v>67.0333333333333</v>
      </c>
      <c r="T19" s="14">
        <v>0</v>
      </c>
      <c r="U19" s="14">
        <v>0</v>
      </c>
      <c r="V19" s="14">
        <v>28.8333333333333</v>
      </c>
      <c r="W19" s="14">
        <v>22.1666666666667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</row>
    <row r="20" spans="1:32">
      <c r="A20" s="1">
        <v>579</v>
      </c>
      <c r="B20" s="13">
        <v>37986</v>
      </c>
      <c r="C20" s="14">
        <v>205.322580645161</v>
      </c>
      <c r="D20" s="14">
        <v>145.354838709677</v>
      </c>
      <c r="E20" s="14">
        <v>63.9677419354839</v>
      </c>
      <c r="F20" s="14">
        <v>920.451612903226</v>
      </c>
      <c r="G20" s="14">
        <v>84.6129032258064</v>
      </c>
      <c r="H20" s="14">
        <v>0</v>
      </c>
      <c r="I20" s="14">
        <v>0</v>
      </c>
      <c r="J20" s="14">
        <v>408.41935483871</v>
      </c>
      <c r="K20" s="14">
        <v>371.838709677419</v>
      </c>
      <c r="L20" s="14">
        <v>909.064516129032</v>
      </c>
      <c r="M20" s="14">
        <v>809.935483870968</v>
      </c>
      <c r="N20" s="14">
        <v>333.387096774194</v>
      </c>
      <c r="O20" s="14">
        <v>65.5161290322581</v>
      </c>
      <c r="P20" s="14">
        <v>878.967741935484</v>
      </c>
      <c r="Q20" s="14">
        <v>1221.38709677419</v>
      </c>
      <c r="R20" s="14">
        <v>42.5483870967742</v>
      </c>
      <c r="S20" s="14">
        <v>10.0967741935484</v>
      </c>
      <c r="T20" s="14">
        <v>0</v>
      </c>
      <c r="U20" s="14">
        <v>0</v>
      </c>
      <c r="V20" s="14">
        <v>41.2258064516129</v>
      </c>
      <c r="W20" s="14">
        <v>31.258064516129</v>
      </c>
      <c r="X20" s="14">
        <v>0</v>
      </c>
      <c r="Y20" s="14">
        <v>0</v>
      </c>
      <c r="Z20" s="14">
        <v>0</v>
      </c>
      <c r="AA20" s="14">
        <v>188.741935483871</v>
      </c>
      <c r="AB20" s="14">
        <v>947.774193548387</v>
      </c>
      <c r="AC20" s="14">
        <v>0</v>
      </c>
      <c r="AD20" s="14">
        <v>0</v>
      </c>
      <c r="AE20" s="14">
        <v>0</v>
      </c>
      <c r="AF20" s="14">
        <v>0</v>
      </c>
    </row>
    <row r="21" spans="1:32">
      <c r="A21" s="1">
        <v>610</v>
      </c>
      <c r="B21" s="13">
        <v>38017</v>
      </c>
      <c r="C21" s="14">
        <v>59.7096774193548</v>
      </c>
      <c r="D21" s="14">
        <v>157.290322580645</v>
      </c>
      <c r="E21" s="14">
        <v>69.6451612903226</v>
      </c>
      <c r="F21" s="14">
        <v>709.709677419355</v>
      </c>
      <c r="G21" s="14">
        <v>19.2903225806452</v>
      </c>
      <c r="H21" s="14">
        <v>0</v>
      </c>
      <c r="I21" s="14">
        <v>0</v>
      </c>
      <c r="J21" s="14">
        <v>325.548387096774</v>
      </c>
      <c r="K21" s="14">
        <v>612.483870967742</v>
      </c>
      <c r="L21" s="14">
        <v>188.161290322581</v>
      </c>
      <c r="M21" s="14">
        <v>269.258064516129</v>
      </c>
      <c r="N21" s="14">
        <v>346.483870967742</v>
      </c>
      <c r="O21" s="14">
        <v>161.096774193548</v>
      </c>
      <c r="P21" s="14">
        <v>853.709677419355</v>
      </c>
      <c r="Q21" s="14">
        <v>934.645161290323</v>
      </c>
      <c r="R21" s="14">
        <v>72.8387096774194</v>
      </c>
      <c r="S21" s="14">
        <v>27.741935483871</v>
      </c>
      <c r="T21" s="14">
        <v>703.161290322581</v>
      </c>
      <c r="U21" s="14">
        <v>140.193548387097</v>
      </c>
      <c r="V21" s="14">
        <v>21.6129032258065</v>
      </c>
      <c r="W21" s="14">
        <v>19.4838709677419</v>
      </c>
      <c r="X21" s="14">
        <v>523.967741935484</v>
      </c>
      <c r="Y21" s="14">
        <v>0</v>
      </c>
      <c r="Z21" s="14">
        <v>0</v>
      </c>
      <c r="AA21" s="14">
        <v>995.58064516129</v>
      </c>
      <c r="AB21" s="14">
        <v>1049.64516129032</v>
      </c>
      <c r="AC21" s="14">
        <v>995.935483870968</v>
      </c>
      <c r="AD21" s="14">
        <v>1023.83870967742</v>
      </c>
      <c r="AE21" s="14">
        <v>0</v>
      </c>
      <c r="AF21" s="14">
        <v>0</v>
      </c>
    </row>
    <row r="22" spans="1:32">
      <c r="A22" s="1">
        <v>639</v>
      </c>
      <c r="B22" s="13">
        <v>38046</v>
      </c>
      <c r="C22" s="14">
        <v>145.965517241379</v>
      </c>
      <c r="D22" s="14">
        <v>152.931034482759</v>
      </c>
      <c r="E22" s="14">
        <v>112.379310344828</v>
      </c>
      <c r="F22" s="14">
        <v>738.137931034483</v>
      </c>
      <c r="G22" s="14">
        <v>0</v>
      </c>
      <c r="H22" s="14">
        <v>0</v>
      </c>
      <c r="I22" s="14">
        <v>0</v>
      </c>
      <c r="J22" s="14">
        <v>513.931034482759</v>
      </c>
      <c r="K22" s="14">
        <v>683.724137931035</v>
      </c>
      <c r="L22" s="14">
        <v>851.241379310345</v>
      </c>
      <c r="M22" s="14">
        <v>836.655172413793</v>
      </c>
      <c r="N22" s="14">
        <v>370.379310344828</v>
      </c>
      <c r="O22" s="14">
        <v>341.827586206897</v>
      </c>
      <c r="P22" s="14">
        <v>867.034482758621</v>
      </c>
      <c r="Q22" s="14">
        <v>861.620689655172</v>
      </c>
      <c r="R22" s="14">
        <v>137.068965517241</v>
      </c>
      <c r="S22" s="14">
        <v>191.103448275862</v>
      </c>
      <c r="T22" s="14">
        <v>588.965517241379</v>
      </c>
      <c r="U22" s="14">
        <v>147.034482758621</v>
      </c>
      <c r="V22" s="14">
        <v>11.3793103448276</v>
      </c>
      <c r="W22" s="14">
        <v>89.0689655172414</v>
      </c>
      <c r="X22" s="14">
        <v>558.034482758621</v>
      </c>
      <c r="Y22" s="14">
        <v>0</v>
      </c>
      <c r="Z22" s="14">
        <v>0</v>
      </c>
      <c r="AA22" s="14">
        <v>1013.72413793103</v>
      </c>
      <c r="AB22" s="14">
        <v>982.379310344828</v>
      </c>
      <c r="AC22" s="14">
        <v>1017.55172413793</v>
      </c>
      <c r="AD22" s="14">
        <v>993.586206896552</v>
      </c>
      <c r="AE22" s="14">
        <v>0</v>
      </c>
      <c r="AF22" s="14">
        <v>0</v>
      </c>
    </row>
    <row r="23" spans="1:32">
      <c r="A23" s="1">
        <v>670</v>
      </c>
      <c r="B23" s="13">
        <v>38077</v>
      </c>
      <c r="C23" s="14">
        <v>164.806451612903</v>
      </c>
      <c r="D23" s="14">
        <v>172.645161290323</v>
      </c>
      <c r="E23" s="14">
        <v>111.451612903226</v>
      </c>
      <c r="F23" s="14">
        <v>784.354838709677</v>
      </c>
      <c r="G23" s="14">
        <v>0</v>
      </c>
      <c r="H23" s="14">
        <v>0</v>
      </c>
      <c r="I23" s="14">
        <v>0</v>
      </c>
      <c r="J23" s="14">
        <v>493.58064516129</v>
      </c>
      <c r="K23" s="14">
        <v>638.935483870968</v>
      </c>
      <c r="L23" s="14">
        <v>1133.90322580645</v>
      </c>
      <c r="M23" s="14">
        <v>840.677419354839</v>
      </c>
      <c r="N23" s="14">
        <v>434.612903225806</v>
      </c>
      <c r="O23" s="14">
        <v>432.741935483871</v>
      </c>
      <c r="P23" s="14">
        <v>880.032258064516</v>
      </c>
      <c r="Q23" s="14">
        <v>939.677419354839</v>
      </c>
      <c r="R23" s="14">
        <v>245.838709677419</v>
      </c>
      <c r="S23" s="14">
        <v>268.354838709677</v>
      </c>
      <c r="T23" s="14">
        <v>526.032258064516</v>
      </c>
      <c r="U23" s="14">
        <v>133.612903225806</v>
      </c>
      <c r="V23" s="14">
        <v>26.8064516129032</v>
      </c>
      <c r="W23" s="14">
        <v>110.41935483871</v>
      </c>
      <c r="X23" s="14">
        <v>712.451612903226</v>
      </c>
      <c r="Y23" s="14">
        <v>0</v>
      </c>
      <c r="Z23" s="14">
        <v>0</v>
      </c>
      <c r="AA23" s="14">
        <v>575.612903225806</v>
      </c>
      <c r="AB23" s="14">
        <v>1032.41935483871</v>
      </c>
      <c r="AC23" s="14">
        <v>1018.41935483871</v>
      </c>
      <c r="AD23" s="14">
        <v>997.870967741935</v>
      </c>
      <c r="AE23" s="14">
        <v>1017.58064516129</v>
      </c>
      <c r="AF23" s="14">
        <v>0</v>
      </c>
    </row>
    <row r="24" spans="1:32">
      <c r="A24" s="1">
        <v>700</v>
      </c>
      <c r="B24" s="13">
        <v>38107</v>
      </c>
      <c r="C24" s="14">
        <v>146.233333333333</v>
      </c>
      <c r="D24" s="14">
        <v>279.733333333333</v>
      </c>
      <c r="E24" s="14">
        <v>124.033333333333</v>
      </c>
      <c r="F24" s="14">
        <v>1036.56666666667</v>
      </c>
      <c r="G24" s="14">
        <v>24.0333333333333</v>
      </c>
      <c r="H24" s="14">
        <v>0</v>
      </c>
      <c r="I24" s="14">
        <v>0</v>
      </c>
      <c r="J24" s="14">
        <v>425.633333333333</v>
      </c>
      <c r="K24" s="14">
        <v>399.766666666667</v>
      </c>
      <c r="L24" s="14">
        <v>942.266666666667</v>
      </c>
      <c r="M24" s="14">
        <v>719.766666666667</v>
      </c>
      <c r="N24" s="14">
        <v>387.433333333333</v>
      </c>
      <c r="O24" s="14">
        <v>322.633333333333</v>
      </c>
      <c r="P24" s="14">
        <v>847.833333333333</v>
      </c>
      <c r="Q24" s="14">
        <v>1163.23333333333</v>
      </c>
      <c r="R24" s="14">
        <v>223.3</v>
      </c>
      <c r="S24" s="14">
        <v>120.966666666667</v>
      </c>
      <c r="T24" s="14">
        <v>523.366666666667</v>
      </c>
      <c r="U24" s="14">
        <v>217.966666666667</v>
      </c>
      <c r="V24" s="14">
        <v>77.2333333333333</v>
      </c>
      <c r="W24" s="14">
        <v>99.1333333333333</v>
      </c>
      <c r="X24" s="14">
        <v>583.666666666667</v>
      </c>
      <c r="Y24" s="14">
        <v>0</v>
      </c>
      <c r="Z24" s="14">
        <v>0</v>
      </c>
      <c r="AA24" s="14">
        <v>0</v>
      </c>
      <c r="AB24" s="14">
        <v>1091.03333333333</v>
      </c>
      <c r="AC24" s="14">
        <v>1066.2</v>
      </c>
      <c r="AD24" s="14">
        <v>898.1</v>
      </c>
      <c r="AE24" s="14">
        <v>1075.93333333333</v>
      </c>
      <c r="AF24" s="14">
        <v>0</v>
      </c>
    </row>
    <row r="25" spans="1:32">
      <c r="A25" s="1">
        <v>731</v>
      </c>
      <c r="B25" s="13">
        <v>38138</v>
      </c>
      <c r="C25" s="14">
        <v>158.354838709677</v>
      </c>
      <c r="D25" s="14">
        <v>340.838709677419</v>
      </c>
      <c r="E25" s="14">
        <v>73.741935483871</v>
      </c>
      <c r="F25" s="14">
        <v>859.483870967742</v>
      </c>
      <c r="G25" s="14">
        <v>88.5161290322581</v>
      </c>
      <c r="H25" s="14">
        <v>0</v>
      </c>
      <c r="I25" s="14">
        <v>0</v>
      </c>
      <c r="J25" s="14">
        <v>402.032258064516</v>
      </c>
      <c r="K25" s="14">
        <v>700.935483870968</v>
      </c>
      <c r="L25" s="14">
        <v>305.645161290323</v>
      </c>
      <c r="M25" s="14">
        <v>669.032258064516</v>
      </c>
      <c r="N25" s="14">
        <v>0</v>
      </c>
      <c r="O25" s="14">
        <v>270.129032258065</v>
      </c>
      <c r="P25" s="14">
        <v>834.387096774194</v>
      </c>
      <c r="Q25" s="14">
        <v>1340.54838709677</v>
      </c>
      <c r="R25" s="14">
        <v>156.838709677419</v>
      </c>
      <c r="S25" s="14">
        <v>140.516129032258</v>
      </c>
      <c r="T25" s="14">
        <v>523.677419354839</v>
      </c>
      <c r="U25" s="14">
        <v>371.451612903226</v>
      </c>
      <c r="V25" s="14">
        <v>204.935483870968</v>
      </c>
      <c r="W25" s="14">
        <v>72.0645161290323</v>
      </c>
      <c r="X25" s="14">
        <v>620.354838709677</v>
      </c>
      <c r="Y25" s="14">
        <v>0</v>
      </c>
      <c r="Z25" s="14">
        <v>0</v>
      </c>
      <c r="AA25" s="14">
        <v>0</v>
      </c>
      <c r="AB25" s="14">
        <v>962.193548387097</v>
      </c>
      <c r="AC25" s="14">
        <v>980</v>
      </c>
      <c r="AD25" s="14">
        <v>973.903225806452</v>
      </c>
      <c r="AE25" s="14">
        <v>973.193548387097</v>
      </c>
      <c r="AF25" s="14">
        <v>0</v>
      </c>
    </row>
    <row r="26" spans="1:32">
      <c r="A26" s="1">
        <v>761</v>
      </c>
      <c r="B26" s="13">
        <v>38168</v>
      </c>
      <c r="C26" s="14">
        <v>203.033333333333</v>
      </c>
      <c r="D26" s="14">
        <v>286.5</v>
      </c>
      <c r="E26" s="14">
        <v>158.866666666667</v>
      </c>
      <c r="F26" s="14">
        <v>928.566666666667</v>
      </c>
      <c r="G26" s="14">
        <v>151.5</v>
      </c>
      <c r="H26" s="14">
        <v>0</v>
      </c>
      <c r="I26" s="14">
        <v>0</v>
      </c>
      <c r="J26" s="14">
        <v>381.533333333333</v>
      </c>
      <c r="K26" s="14">
        <v>628.166666666667</v>
      </c>
      <c r="L26" s="14">
        <v>864.733333333333</v>
      </c>
      <c r="M26" s="14">
        <v>667.933333333333</v>
      </c>
      <c r="N26" s="14">
        <v>330.8</v>
      </c>
      <c r="O26" s="14">
        <v>267.1</v>
      </c>
      <c r="P26" s="14">
        <v>834.4</v>
      </c>
      <c r="Q26" s="14">
        <v>1337.96666666667</v>
      </c>
      <c r="R26" s="14">
        <v>228.9</v>
      </c>
      <c r="S26" s="14">
        <v>275.9</v>
      </c>
      <c r="T26" s="14">
        <v>526.666666666667</v>
      </c>
      <c r="U26" s="14">
        <v>370.833333333333</v>
      </c>
      <c r="V26" s="14">
        <v>8.56666666666667</v>
      </c>
      <c r="W26" s="14">
        <v>69.7333333333333</v>
      </c>
      <c r="X26" s="14">
        <v>806.933333333333</v>
      </c>
      <c r="Y26" s="14">
        <v>0</v>
      </c>
      <c r="Z26" s="14">
        <v>0</v>
      </c>
      <c r="AA26" s="14">
        <v>0</v>
      </c>
      <c r="AB26" s="14">
        <v>1028.5</v>
      </c>
      <c r="AC26" s="14">
        <v>1023.46666666667</v>
      </c>
      <c r="AD26" s="14">
        <v>949.733333333333</v>
      </c>
      <c r="AE26" s="14">
        <v>930.333333333333</v>
      </c>
      <c r="AF26" s="14">
        <v>0</v>
      </c>
    </row>
    <row r="27" spans="1:32">
      <c r="A27" s="1">
        <v>792</v>
      </c>
      <c r="B27" s="13">
        <v>38199</v>
      </c>
      <c r="C27" s="14">
        <v>320.064516129032</v>
      </c>
      <c r="D27" s="14">
        <v>200</v>
      </c>
      <c r="E27" s="14">
        <v>100.645161290323</v>
      </c>
      <c r="F27" s="14">
        <v>1013.09677419355</v>
      </c>
      <c r="G27" s="14">
        <v>146.483870967742</v>
      </c>
      <c r="H27" s="14">
        <v>0</v>
      </c>
      <c r="I27" s="14">
        <v>0</v>
      </c>
      <c r="J27" s="14">
        <v>369.645161290323</v>
      </c>
      <c r="K27" s="14">
        <v>562.451612903226</v>
      </c>
      <c r="L27" s="14">
        <v>1024.35483870968</v>
      </c>
      <c r="M27" s="14">
        <v>199.58064516129</v>
      </c>
      <c r="N27" s="14">
        <v>430.032258064516</v>
      </c>
      <c r="O27" s="14">
        <v>270.354838709677</v>
      </c>
      <c r="P27" s="14">
        <v>189.548387096774</v>
      </c>
      <c r="Q27" s="14">
        <v>828.354838709677</v>
      </c>
      <c r="R27" s="14">
        <v>121.483870967742</v>
      </c>
      <c r="S27" s="14">
        <v>160.935483870968</v>
      </c>
      <c r="T27" s="14">
        <v>398.451612903226</v>
      </c>
      <c r="U27" s="14">
        <v>337.322580645161</v>
      </c>
      <c r="V27" s="14">
        <v>11.741935483871</v>
      </c>
      <c r="W27" s="14">
        <v>72.258064516129</v>
      </c>
      <c r="X27" s="14">
        <v>704.290322580645</v>
      </c>
      <c r="Y27" s="14">
        <v>0</v>
      </c>
      <c r="Z27" s="14">
        <v>0</v>
      </c>
      <c r="AA27" s="14">
        <v>0</v>
      </c>
      <c r="AB27" s="14">
        <v>811.032258064516</v>
      </c>
      <c r="AC27" s="14">
        <v>1203.87096774194</v>
      </c>
      <c r="AD27" s="14">
        <v>817.096774193548</v>
      </c>
      <c r="AE27" s="14">
        <v>999.774193548387</v>
      </c>
      <c r="AF27" s="14">
        <v>0</v>
      </c>
    </row>
    <row r="28" spans="1:32">
      <c r="A28" s="1">
        <v>823</v>
      </c>
      <c r="B28" s="13">
        <v>38230</v>
      </c>
      <c r="C28" s="14">
        <v>299.290322580645</v>
      </c>
      <c r="D28" s="14">
        <v>203.677419354839</v>
      </c>
      <c r="E28" s="14">
        <v>67.5161290322581</v>
      </c>
      <c r="F28" s="14">
        <v>1016.83870967742</v>
      </c>
      <c r="G28" s="14">
        <v>144.225806451613</v>
      </c>
      <c r="H28" s="14">
        <v>0</v>
      </c>
      <c r="I28" s="14">
        <v>0</v>
      </c>
      <c r="J28" s="14">
        <v>337.709677419355</v>
      </c>
      <c r="K28" s="14">
        <v>559.032258064516</v>
      </c>
      <c r="L28" s="14">
        <v>1024.38709677419</v>
      </c>
      <c r="M28" s="14">
        <v>109.322580645161</v>
      </c>
      <c r="N28" s="14">
        <v>411.290322580645</v>
      </c>
      <c r="O28" s="14">
        <v>270.677419354839</v>
      </c>
      <c r="P28" s="14">
        <v>65.8064516129032</v>
      </c>
      <c r="Q28" s="14">
        <v>785.225806451613</v>
      </c>
      <c r="R28" s="14">
        <v>81.4516129032258</v>
      </c>
      <c r="S28" s="14">
        <v>124.032258064516</v>
      </c>
      <c r="T28" s="14">
        <v>370.322580645161</v>
      </c>
      <c r="U28" s="14">
        <v>329.193548387097</v>
      </c>
      <c r="V28" s="14">
        <v>12.3225806451613</v>
      </c>
      <c r="W28" s="14">
        <v>56.258064516129</v>
      </c>
      <c r="X28" s="14">
        <v>684.483870967742</v>
      </c>
      <c r="Y28" s="14">
        <v>0</v>
      </c>
      <c r="Z28" s="14">
        <v>0</v>
      </c>
      <c r="AA28" s="14">
        <v>0</v>
      </c>
      <c r="AB28" s="14">
        <v>934.774193548387</v>
      </c>
      <c r="AC28" s="14">
        <v>1219.09677419355</v>
      </c>
      <c r="AD28" s="14">
        <v>864.258064516129</v>
      </c>
      <c r="AE28" s="14">
        <v>1087.32258064516</v>
      </c>
      <c r="AF28" s="14">
        <v>0</v>
      </c>
    </row>
    <row r="29" spans="1:32">
      <c r="A29" s="1">
        <v>853</v>
      </c>
      <c r="B29" s="13">
        <v>38260</v>
      </c>
      <c r="C29" s="14">
        <v>256.5</v>
      </c>
      <c r="D29" s="14">
        <v>173.033333333333</v>
      </c>
      <c r="E29" s="14">
        <v>60.8666666666667</v>
      </c>
      <c r="F29" s="14">
        <v>1027.7</v>
      </c>
      <c r="G29" s="14">
        <v>177.3</v>
      </c>
      <c r="H29" s="14">
        <v>0</v>
      </c>
      <c r="I29" s="14">
        <v>0</v>
      </c>
      <c r="J29" s="14">
        <v>217.733333333333</v>
      </c>
      <c r="K29" s="14">
        <v>404.533333333333</v>
      </c>
      <c r="L29" s="14">
        <v>1019.53333333333</v>
      </c>
      <c r="M29" s="14">
        <v>110.766666666667</v>
      </c>
      <c r="N29" s="14">
        <v>363.066666666667</v>
      </c>
      <c r="O29" s="14">
        <v>277.2</v>
      </c>
      <c r="P29" s="14">
        <v>71.8333333333333</v>
      </c>
      <c r="Q29" s="14">
        <v>789.4</v>
      </c>
      <c r="R29" s="14">
        <v>83.7333333333333</v>
      </c>
      <c r="S29" s="14">
        <v>128.3</v>
      </c>
      <c r="T29" s="14">
        <v>475.3</v>
      </c>
      <c r="U29" s="14">
        <v>329.633333333333</v>
      </c>
      <c r="V29" s="14">
        <v>6.63333333333333</v>
      </c>
      <c r="W29" s="14">
        <v>78.8333333333333</v>
      </c>
      <c r="X29" s="14">
        <v>653.033333333333</v>
      </c>
      <c r="Y29" s="14">
        <v>0</v>
      </c>
      <c r="Z29" s="14">
        <v>0</v>
      </c>
      <c r="AA29" s="14">
        <v>0</v>
      </c>
      <c r="AB29" s="14">
        <v>794.4</v>
      </c>
      <c r="AC29" s="14">
        <v>1149.4</v>
      </c>
      <c r="AD29" s="14">
        <v>874.9</v>
      </c>
      <c r="AE29" s="14">
        <v>973.233333333333</v>
      </c>
      <c r="AF29" s="14">
        <v>0</v>
      </c>
    </row>
    <row r="30" spans="1:32">
      <c r="A30" s="1">
        <v>884</v>
      </c>
      <c r="B30" s="13">
        <v>38291</v>
      </c>
      <c r="C30" s="14">
        <v>295.354838709677</v>
      </c>
      <c r="D30" s="14">
        <v>136</v>
      </c>
      <c r="E30" s="14">
        <v>128.451612903226</v>
      </c>
      <c r="F30" s="14">
        <v>952.354838709677</v>
      </c>
      <c r="G30" s="14">
        <v>159.064516129032</v>
      </c>
      <c r="H30" s="14">
        <v>0</v>
      </c>
      <c r="I30" s="14">
        <v>0</v>
      </c>
      <c r="J30" s="14">
        <v>302.935483870968</v>
      </c>
      <c r="K30" s="14">
        <v>332.741935483871</v>
      </c>
      <c r="L30" s="14">
        <v>1025.96774193548</v>
      </c>
      <c r="M30" s="14">
        <v>112</v>
      </c>
      <c r="N30" s="14">
        <v>432.483870967742</v>
      </c>
      <c r="O30" s="14">
        <v>284.225806451613</v>
      </c>
      <c r="P30" s="14">
        <v>65.6451612903226</v>
      </c>
      <c r="Q30" s="14">
        <v>769.516129032258</v>
      </c>
      <c r="R30" s="14">
        <v>85.7096774193548</v>
      </c>
      <c r="S30" s="14">
        <v>135.451612903226</v>
      </c>
      <c r="T30" s="14">
        <v>549.41935483871</v>
      </c>
      <c r="U30" s="14">
        <v>323.032258064516</v>
      </c>
      <c r="V30" s="14">
        <v>21.6451612903226</v>
      </c>
      <c r="W30" s="14">
        <v>84.4516129032258</v>
      </c>
      <c r="X30" s="14">
        <v>594.741935483871</v>
      </c>
      <c r="Y30" s="14">
        <v>0</v>
      </c>
      <c r="Z30" s="14">
        <v>0</v>
      </c>
      <c r="AA30" s="14">
        <v>90.3225806451613</v>
      </c>
      <c r="AB30" s="14">
        <v>850</v>
      </c>
      <c r="AC30" s="14">
        <v>566.645161290323</v>
      </c>
      <c r="AD30" s="14">
        <v>799.870967741935</v>
      </c>
      <c r="AE30" s="14">
        <v>802.58064516129</v>
      </c>
      <c r="AF30" s="14">
        <v>0</v>
      </c>
    </row>
    <row r="31" spans="1:32">
      <c r="A31" s="1">
        <v>914</v>
      </c>
      <c r="B31" s="13">
        <v>38321</v>
      </c>
      <c r="C31" s="14">
        <v>407.833333333333</v>
      </c>
      <c r="D31" s="14">
        <v>104.666666666667</v>
      </c>
      <c r="E31" s="14">
        <v>134.133333333333</v>
      </c>
      <c r="F31" s="14">
        <v>551.466666666667</v>
      </c>
      <c r="G31" s="14">
        <v>152.166666666667</v>
      </c>
      <c r="H31" s="14">
        <v>0</v>
      </c>
      <c r="I31" s="14">
        <v>0</v>
      </c>
      <c r="J31" s="14">
        <v>559.133333333333</v>
      </c>
      <c r="K31" s="14">
        <v>459.2</v>
      </c>
      <c r="L31" s="14">
        <v>327.266666666667</v>
      </c>
      <c r="M31" s="14">
        <v>85.9333333333333</v>
      </c>
      <c r="N31" s="14">
        <v>359.7</v>
      </c>
      <c r="O31" s="14">
        <v>140.433333333333</v>
      </c>
      <c r="P31" s="14">
        <v>23.0666666666667</v>
      </c>
      <c r="Q31" s="14">
        <v>761.866666666667</v>
      </c>
      <c r="R31" s="14">
        <v>80.9666666666667</v>
      </c>
      <c r="S31" s="14">
        <v>165.3</v>
      </c>
      <c r="T31" s="14">
        <v>541.2</v>
      </c>
      <c r="U31" s="14">
        <v>304.2</v>
      </c>
      <c r="V31" s="14">
        <v>234.766666666667</v>
      </c>
      <c r="W31" s="14">
        <v>81.4333333333333</v>
      </c>
      <c r="X31" s="14">
        <v>613.066666666667</v>
      </c>
      <c r="Y31" s="14">
        <v>0</v>
      </c>
      <c r="Z31" s="14">
        <v>0</v>
      </c>
      <c r="AA31" s="14">
        <v>675.066666666667</v>
      </c>
      <c r="AB31" s="14">
        <v>849.5</v>
      </c>
      <c r="AC31" s="14">
        <v>448.6</v>
      </c>
      <c r="AD31" s="14">
        <v>996</v>
      </c>
      <c r="AE31" s="14">
        <v>996.7</v>
      </c>
      <c r="AF31" s="14">
        <v>0</v>
      </c>
    </row>
    <row r="32" spans="1:32">
      <c r="A32" s="1">
        <v>945</v>
      </c>
      <c r="B32" s="13">
        <v>38352</v>
      </c>
      <c r="C32" s="14">
        <v>206.322580645161</v>
      </c>
      <c r="D32" s="14">
        <v>181.483870967742</v>
      </c>
      <c r="E32" s="14">
        <v>115</v>
      </c>
      <c r="F32" s="14">
        <v>725.41935483871</v>
      </c>
      <c r="G32" s="14">
        <v>153.741935483871</v>
      </c>
      <c r="H32" s="14">
        <v>0</v>
      </c>
      <c r="I32" s="14">
        <v>0</v>
      </c>
      <c r="J32" s="14">
        <v>472.193548387097</v>
      </c>
      <c r="K32" s="14">
        <v>464.483870967742</v>
      </c>
      <c r="L32" s="14">
        <v>162.903225806452</v>
      </c>
      <c r="M32" s="14">
        <v>113.387096774194</v>
      </c>
      <c r="N32" s="14">
        <v>61.2903225806452</v>
      </c>
      <c r="O32" s="14">
        <v>115.225806451613</v>
      </c>
      <c r="P32" s="14">
        <v>82.8064516129032</v>
      </c>
      <c r="Q32" s="14">
        <v>623.129032258065</v>
      </c>
      <c r="R32" s="14">
        <v>80.2258064516129</v>
      </c>
      <c r="S32" s="14">
        <v>169.322580645161</v>
      </c>
      <c r="T32" s="14">
        <v>479.451612903226</v>
      </c>
      <c r="U32" s="14">
        <v>124.161290322581</v>
      </c>
      <c r="V32" s="14">
        <v>285.41935483871</v>
      </c>
      <c r="W32" s="14">
        <v>80.8064516129032</v>
      </c>
      <c r="X32" s="14">
        <v>683.129032258065</v>
      </c>
      <c r="Y32" s="14">
        <v>0</v>
      </c>
      <c r="Z32" s="14">
        <v>0</v>
      </c>
      <c r="AA32" s="14">
        <v>1060.45161290323</v>
      </c>
      <c r="AB32" s="14">
        <v>717.096774193548</v>
      </c>
      <c r="AC32" s="14">
        <v>634.161290322581</v>
      </c>
      <c r="AD32" s="14">
        <v>898.451612903226</v>
      </c>
      <c r="AE32" s="14">
        <v>880.096774193548</v>
      </c>
      <c r="AF32" s="14">
        <v>0</v>
      </c>
    </row>
    <row r="33" spans="1:32">
      <c r="A33" s="1">
        <v>976</v>
      </c>
      <c r="B33" s="13">
        <v>38383</v>
      </c>
      <c r="C33" s="14">
        <v>176.290322580645</v>
      </c>
      <c r="D33" s="14">
        <v>207.516129032258</v>
      </c>
      <c r="E33" s="14">
        <v>91</v>
      </c>
      <c r="F33" s="14">
        <v>1031.32258064516</v>
      </c>
      <c r="G33" s="14">
        <v>158.451612903226</v>
      </c>
      <c r="H33" s="14">
        <v>0</v>
      </c>
      <c r="I33" s="14">
        <v>0</v>
      </c>
      <c r="J33" s="14">
        <v>405.483870967742</v>
      </c>
      <c r="K33" s="14">
        <v>482.451612903226</v>
      </c>
      <c r="L33" s="14">
        <v>162.935483870968</v>
      </c>
      <c r="M33" s="14">
        <v>115.193548387097</v>
      </c>
      <c r="N33" s="14">
        <v>62.4193548387097</v>
      </c>
      <c r="O33" s="14">
        <v>117.387096774194</v>
      </c>
      <c r="P33" s="14">
        <v>90.2903225806452</v>
      </c>
      <c r="Q33" s="14">
        <v>487.58064516129</v>
      </c>
      <c r="R33" s="14">
        <v>82.1935483870968</v>
      </c>
      <c r="S33" s="14">
        <v>177.935483870968</v>
      </c>
      <c r="T33" s="14">
        <v>459.032258064516</v>
      </c>
      <c r="U33" s="14">
        <v>149.645161290323</v>
      </c>
      <c r="V33" s="14">
        <v>297.548387096774</v>
      </c>
      <c r="W33" s="14">
        <v>87.6451612903226</v>
      </c>
      <c r="X33" s="14">
        <v>684.032258064516</v>
      </c>
      <c r="Y33" s="14">
        <v>0</v>
      </c>
      <c r="Z33" s="14">
        <v>0</v>
      </c>
      <c r="AA33" s="14">
        <v>1096.12903225806</v>
      </c>
      <c r="AB33" s="14">
        <v>836.967741935484</v>
      </c>
      <c r="AC33" s="14">
        <v>775.258064516129</v>
      </c>
      <c r="AD33" s="14">
        <v>905.41935483871</v>
      </c>
      <c r="AE33" s="14">
        <v>1119.96774193548</v>
      </c>
      <c r="AF33" s="14">
        <v>0</v>
      </c>
    </row>
    <row r="34" spans="1:32">
      <c r="A34" s="1">
        <v>1004</v>
      </c>
      <c r="B34" s="13">
        <v>38411</v>
      </c>
      <c r="C34" s="14">
        <v>181.035714285714</v>
      </c>
      <c r="D34" s="14">
        <v>172.607142857143</v>
      </c>
      <c r="E34" s="14">
        <v>94.7142857142857</v>
      </c>
      <c r="F34" s="14">
        <v>1041.67857142857</v>
      </c>
      <c r="G34" s="14">
        <v>162.357142857143</v>
      </c>
      <c r="H34" s="14">
        <v>0</v>
      </c>
      <c r="I34" s="14">
        <v>0</v>
      </c>
      <c r="J34" s="14">
        <v>386.928571428571</v>
      </c>
      <c r="K34" s="14">
        <v>279.75</v>
      </c>
      <c r="L34" s="14">
        <v>169</v>
      </c>
      <c r="M34" s="14">
        <v>121.964285714286</v>
      </c>
      <c r="N34" s="14">
        <v>7.82142857142857</v>
      </c>
      <c r="O34" s="14">
        <v>130.964285714286</v>
      </c>
      <c r="P34" s="14">
        <v>661.821428571429</v>
      </c>
      <c r="Q34" s="14">
        <v>148.392857142857</v>
      </c>
      <c r="R34" s="14">
        <v>83.6071428571429</v>
      </c>
      <c r="S34" s="14">
        <v>165.357142857143</v>
      </c>
      <c r="T34" s="14">
        <v>598.071428571429</v>
      </c>
      <c r="U34" s="14">
        <v>206.285714285714</v>
      </c>
      <c r="V34" s="14">
        <v>305.071428571429</v>
      </c>
      <c r="W34" s="14">
        <v>91.8928571428571</v>
      </c>
      <c r="X34" s="14">
        <v>706.392857142857</v>
      </c>
      <c r="Y34" s="14">
        <v>0</v>
      </c>
      <c r="Z34" s="14">
        <v>0</v>
      </c>
      <c r="AA34" s="14">
        <v>879.107142857143</v>
      </c>
      <c r="AB34" s="14">
        <v>927.928571428571</v>
      </c>
      <c r="AC34" s="14">
        <v>848.928571428571</v>
      </c>
      <c r="AD34" s="14">
        <v>948</v>
      </c>
      <c r="AE34" s="14">
        <v>662.928571428571</v>
      </c>
      <c r="AF34" s="14">
        <v>0</v>
      </c>
    </row>
    <row r="35" spans="1:32">
      <c r="A35" s="1">
        <v>1035</v>
      </c>
      <c r="B35" s="13">
        <v>38442</v>
      </c>
      <c r="C35" s="14">
        <v>172.548387096774</v>
      </c>
      <c r="D35" s="14">
        <v>120.096774193548</v>
      </c>
      <c r="E35" s="14">
        <v>93.9677419354839</v>
      </c>
      <c r="F35" s="14">
        <v>1041.67741935484</v>
      </c>
      <c r="G35" s="14">
        <v>163.193548387097</v>
      </c>
      <c r="H35" s="14">
        <v>0</v>
      </c>
      <c r="I35" s="14">
        <v>0</v>
      </c>
      <c r="J35" s="14">
        <v>331.483870967742</v>
      </c>
      <c r="K35" s="14">
        <v>489.322580645161</v>
      </c>
      <c r="L35" s="14">
        <v>471.548387096774</v>
      </c>
      <c r="M35" s="14">
        <v>429.387096774194</v>
      </c>
      <c r="N35" s="14">
        <v>0</v>
      </c>
      <c r="O35" s="14">
        <v>365.935483870968</v>
      </c>
      <c r="P35" s="14">
        <v>990.193548387097</v>
      </c>
      <c r="Q35" s="14">
        <v>317.645161290323</v>
      </c>
      <c r="R35" s="14">
        <v>78.8387096774194</v>
      </c>
      <c r="S35" s="14">
        <v>64.3870967741936</v>
      </c>
      <c r="T35" s="14">
        <v>547.870967741935</v>
      </c>
      <c r="U35" s="14">
        <v>0</v>
      </c>
      <c r="V35" s="14">
        <v>231.774193548387</v>
      </c>
      <c r="W35" s="14">
        <v>352.58064516129</v>
      </c>
      <c r="X35" s="14">
        <v>748.677419354839</v>
      </c>
      <c r="Y35" s="14">
        <v>0</v>
      </c>
      <c r="Z35" s="14">
        <v>0</v>
      </c>
      <c r="AA35" s="14">
        <v>448.193548387097</v>
      </c>
      <c r="AB35" s="14">
        <v>1112.38709677419</v>
      </c>
      <c r="AC35" s="14">
        <v>1037.51612903226</v>
      </c>
      <c r="AD35" s="14">
        <v>829.903225806452</v>
      </c>
      <c r="AE35" s="14">
        <v>971.806451612903</v>
      </c>
      <c r="AF35" s="14">
        <v>0</v>
      </c>
    </row>
    <row r="36" spans="1:32">
      <c r="A36" s="1">
        <v>1065</v>
      </c>
      <c r="B36" s="13">
        <v>38472</v>
      </c>
      <c r="C36" s="14">
        <v>282.233333333333</v>
      </c>
      <c r="D36" s="14">
        <v>140.133333333333</v>
      </c>
      <c r="E36" s="14">
        <v>109.5</v>
      </c>
      <c r="F36" s="14">
        <v>1041.7</v>
      </c>
      <c r="G36" s="14">
        <v>145.2</v>
      </c>
      <c r="H36" s="14">
        <v>0</v>
      </c>
      <c r="I36" s="14">
        <v>0</v>
      </c>
      <c r="J36" s="14">
        <v>289.1</v>
      </c>
      <c r="K36" s="14">
        <v>468.166666666667</v>
      </c>
      <c r="L36" s="14">
        <v>361.8</v>
      </c>
      <c r="M36" s="14">
        <v>328.166666666667</v>
      </c>
      <c r="N36" s="14">
        <v>34.2333333333333</v>
      </c>
      <c r="O36" s="14">
        <v>228.933333333333</v>
      </c>
      <c r="P36" s="14">
        <v>488.633333333333</v>
      </c>
      <c r="Q36" s="14">
        <v>191.866666666667</v>
      </c>
      <c r="R36" s="14">
        <v>44.8666666666667</v>
      </c>
      <c r="S36" s="14">
        <v>49.5333333333333</v>
      </c>
      <c r="T36" s="14">
        <v>453.833333333333</v>
      </c>
      <c r="U36" s="14">
        <v>110.366666666667</v>
      </c>
      <c r="V36" s="14">
        <v>257.433333333333</v>
      </c>
      <c r="W36" s="14">
        <v>137.4</v>
      </c>
      <c r="X36" s="14">
        <v>731.966666666667</v>
      </c>
      <c r="Y36" s="14">
        <v>0</v>
      </c>
      <c r="Z36" s="14">
        <v>0</v>
      </c>
      <c r="AA36" s="14">
        <v>743.933333333333</v>
      </c>
      <c r="AB36" s="14">
        <v>941.766666666667</v>
      </c>
      <c r="AC36" s="14">
        <v>922.366666666667</v>
      </c>
      <c r="AD36" s="14">
        <v>980.666666666667</v>
      </c>
      <c r="AE36" s="14">
        <v>966.933333333333</v>
      </c>
      <c r="AF36" s="14">
        <v>0</v>
      </c>
    </row>
    <row r="37" spans="1:32">
      <c r="A37" s="1">
        <v>1096</v>
      </c>
      <c r="B37" s="13">
        <v>38503</v>
      </c>
      <c r="C37" s="14">
        <v>321.129032258065</v>
      </c>
      <c r="D37" s="14">
        <v>184.032258064516</v>
      </c>
      <c r="E37" s="14">
        <v>103.064516129032</v>
      </c>
      <c r="F37" s="14">
        <v>1148.61290322581</v>
      </c>
      <c r="G37" s="14">
        <v>135.870967741935</v>
      </c>
      <c r="H37" s="14">
        <v>0</v>
      </c>
      <c r="I37" s="14">
        <v>0</v>
      </c>
      <c r="J37" s="14">
        <v>268.161290322581</v>
      </c>
      <c r="K37" s="14">
        <v>468.096774193548</v>
      </c>
      <c r="L37" s="14">
        <v>159.322580645161</v>
      </c>
      <c r="M37" s="14">
        <v>316.258064516129</v>
      </c>
      <c r="N37" s="14">
        <v>133.161290322581</v>
      </c>
      <c r="O37" s="14">
        <v>195.41935483871</v>
      </c>
      <c r="P37" s="14">
        <v>987.354838709677</v>
      </c>
      <c r="Q37" s="14">
        <v>351.645161290323</v>
      </c>
      <c r="R37" s="14">
        <v>62.9354838709677</v>
      </c>
      <c r="S37" s="14">
        <v>414.677419354839</v>
      </c>
      <c r="T37" s="14">
        <v>461.354838709677</v>
      </c>
      <c r="U37" s="14">
        <v>227.677419354839</v>
      </c>
      <c r="V37" s="14">
        <v>274.354838709677</v>
      </c>
      <c r="W37" s="14">
        <v>105.838709677419</v>
      </c>
      <c r="X37" s="14">
        <v>651.451612903226</v>
      </c>
      <c r="Y37" s="14">
        <v>0</v>
      </c>
      <c r="Z37" s="14">
        <v>0</v>
      </c>
      <c r="AA37" s="14">
        <v>993.645161290323</v>
      </c>
      <c r="AB37" s="14">
        <v>954.612903225806</v>
      </c>
      <c r="AC37" s="14">
        <v>976.483870967742</v>
      </c>
      <c r="AD37" s="14">
        <v>1003.1935483871</v>
      </c>
      <c r="AE37" s="14">
        <v>981.548387096774</v>
      </c>
      <c r="AF37" s="14">
        <v>0</v>
      </c>
    </row>
    <row r="38" spans="1:32">
      <c r="A38" s="1">
        <v>1126</v>
      </c>
      <c r="B38" s="13">
        <v>38533</v>
      </c>
      <c r="C38" s="14">
        <v>357.233333333333</v>
      </c>
      <c r="D38" s="14">
        <v>162.633333333333</v>
      </c>
      <c r="E38" s="14">
        <v>105.4</v>
      </c>
      <c r="F38" s="14">
        <v>1121.43333333333</v>
      </c>
      <c r="G38" s="14">
        <v>394.433333333333</v>
      </c>
      <c r="H38" s="14">
        <v>0</v>
      </c>
      <c r="I38" s="14">
        <v>0</v>
      </c>
      <c r="J38" s="14">
        <v>253.166666666667</v>
      </c>
      <c r="K38" s="14">
        <v>582.933333333333</v>
      </c>
      <c r="L38" s="14">
        <v>350.366666666667</v>
      </c>
      <c r="M38" s="14">
        <v>332.8</v>
      </c>
      <c r="N38" s="14">
        <v>262.533333333333</v>
      </c>
      <c r="O38" s="14">
        <v>140.5</v>
      </c>
      <c r="P38" s="14">
        <v>945.866666666667</v>
      </c>
      <c r="Q38" s="14">
        <v>257.966666666667</v>
      </c>
      <c r="R38" s="14">
        <v>68.2666666666667</v>
      </c>
      <c r="S38" s="14">
        <v>434.433333333333</v>
      </c>
      <c r="T38" s="14">
        <v>498.5</v>
      </c>
      <c r="U38" s="14">
        <v>150.966666666667</v>
      </c>
      <c r="V38" s="14">
        <v>281.066666666667</v>
      </c>
      <c r="W38" s="14">
        <v>23.9</v>
      </c>
      <c r="X38" s="14">
        <v>657.666666666667</v>
      </c>
      <c r="Y38" s="14">
        <v>0</v>
      </c>
      <c r="Z38" s="14">
        <v>0</v>
      </c>
      <c r="AA38" s="14">
        <v>1002.4</v>
      </c>
      <c r="AB38" s="14">
        <v>1005.93333333333</v>
      </c>
      <c r="AC38" s="14">
        <v>1004.26666666667</v>
      </c>
      <c r="AD38" s="14">
        <v>990.066666666667</v>
      </c>
      <c r="AE38" s="14">
        <v>996.166666666667</v>
      </c>
      <c r="AF38" s="14">
        <v>0</v>
      </c>
    </row>
    <row r="39" spans="1:32">
      <c r="A39" s="1">
        <v>1157</v>
      </c>
      <c r="B39" s="13">
        <v>38564</v>
      </c>
      <c r="C39" s="14">
        <v>290.129032258065</v>
      </c>
      <c r="D39" s="14">
        <v>145.838709677419</v>
      </c>
      <c r="E39" s="14">
        <v>102.516129032258</v>
      </c>
      <c r="F39" s="14">
        <v>1050.93548387097</v>
      </c>
      <c r="G39" s="14">
        <v>348</v>
      </c>
      <c r="H39" s="14">
        <v>0</v>
      </c>
      <c r="I39" s="14">
        <v>0</v>
      </c>
      <c r="J39" s="14">
        <v>313.870967741935</v>
      </c>
      <c r="K39" s="14">
        <v>469.161290322581</v>
      </c>
      <c r="L39" s="14">
        <v>420.193548387097</v>
      </c>
      <c r="M39" s="14">
        <v>312.483870967742</v>
      </c>
      <c r="N39" s="14">
        <v>239.806451612903</v>
      </c>
      <c r="O39" s="14">
        <v>139.225806451613</v>
      </c>
      <c r="P39" s="14">
        <v>218.774193548387</v>
      </c>
      <c r="Q39" s="14">
        <v>305.935483870968</v>
      </c>
      <c r="R39" s="14">
        <v>78.7741935483871</v>
      </c>
      <c r="S39" s="14">
        <v>431.516129032258</v>
      </c>
      <c r="T39" s="14">
        <v>470.935483870968</v>
      </c>
      <c r="U39" s="14">
        <v>0</v>
      </c>
      <c r="V39" s="14">
        <v>283.645161290323</v>
      </c>
      <c r="W39" s="14">
        <v>29.7741935483871</v>
      </c>
      <c r="X39" s="14">
        <v>0</v>
      </c>
      <c r="Y39" s="14">
        <v>0</v>
      </c>
      <c r="Z39" s="14">
        <v>0</v>
      </c>
      <c r="AA39" s="14">
        <v>997.935483870968</v>
      </c>
      <c r="AB39" s="14">
        <v>738.225806451613</v>
      </c>
      <c r="AC39" s="14">
        <v>737.58064516129</v>
      </c>
      <c r="AD39" s="14">
        <v>985.41935483871</v>
      </c>
      <c r="AE39" s="14">
        <v>973.548387096774</v>
      </c>
      <c r="AF39" s="14">
        <v>0</v>
      </c>
    </row>
    <row r="40" spans="1:32">
      <c r="A40" s="1">
        <v>1188</v>
      </c>
      <c r="B40" s="13">
        <v>38595</v>
      </c>
      <c r="C40" s="14">
        <v>245.064516129032</v>
      </c>
      <c r="D40" s="14">
        <v>114.774193548387</v>
      </c>
      <c r="E40" s="14">
        <v>12.4193548387097</v>
      </c>
      <c r="F40" s="14">
        <v>1031.87096774194</v>
      </c>
      <c r="G40" s="14">
        <v>352.258064516129</v>
      </c>
      <c r="H40" s="14">
        <v>0</v>
      </c>
      <c r="I40" s="14">
        <v>0</v>
      </c>
      <c r="J40" s="14">
        <v>314.709677419355</v>
      </c>
      <c r="K40" s="14">
        <v>465.903225806452</v>
      </c>
      <c r="L40" s="14">
        <v>421.612903225806</v>
      </c>
      <c r="M40" s="14">
        <v>274.58064516129</v>
      </c>
      <c r="N40" s="14">
        <v>184.838709677419</v>
      </c>
      <c r="O40" s="14">
        <v>151.741935483871</v>
      </c>
      <c r="P40" s="14">
        <v>2.38709677419355</v>
      </c>
      <c r="Q40" s="14">
        <v>389.096774193548</v>
      </c>
      <c r="R40" s="14">
        <v>7.61290322580645</v>
      </c>
      <c r="S40" s="14">
        <v>35.4193548387097</v>
      </c>
      <c r="T40" s="14">
        <v>401.612903225806</v>
      </c>
      <c r="U40" s="14">
        <v>0</v>
      </c>
      <c r="V40" s="14">
        <v>308.354838709677</v>
      </c>
      <c r="W40" s="14">
        <v>35.5483870967742</v>
      </c>
      <c r="X40" s="14">
        <v>0</v>
      </c>
      <c r="Y40" s="14">
        <v>0</v>
      </c>
      <c r="Z40" s="14">
        <v>0</v>
      </c>
      <c r="AA40" s="14">
        <v>988.064516129032</v>
      </c>
      <c r="AB40" s="14">
        <v>0</v>
      </c>
      <c r="AC40" s="14">
        <v>0</v>
      </c>
      <c r="AD40" s="14">
        <v>893.774193548387</v>
      </c>
      <c r="AE40" s="14">
        <v>869.387096774194</v>
      </c>
      <c r="AF40" s="14">
        <v>0</v>
      </c>
    </row>
    <row r="41" spans="1:32">
      <c r="A41" s="1">
        <v>1218</v>
      </c>
      <c r="B41" s="13">
        <v>38625</v>
      </c>
      <c r="C41" s="14">
        <v>182.166666666667</v>
      </c>
      <c r="D41" s="14">
        <v>238.1</v>
      </c>
      <c r="E41" s="14">
        <v>0</v>
      </c>
      <c r="F41" s="14">
        <v>1040.5</v>
      </c>
      <c r="G41" s="14">
        <v>243.533333333333</v>
      </c>
      <c r="H41" s="14">
        <v>0</v>
      </c>
      <c r="I41" s="14">
        <v>0</v>
      </c>
      <c r="J41" s="14">
        <v>314.433333333333</v>
      </c>
      <c r="K41" s="14">
        <v>513.866666666667</v>
      </c>
      <c r="L41" s="14">
        <v>421.033333333333</v>
      </c>
      <c r="M41" s="14">
        <v>271.133333333333</v>
      </c>
      <c r="N41" s="14">
        <v>183.966666666667</v>
      </c>
      <c r="O41" s="14">
        <v>133.233333333333</v>
      </c>
      <c r="P41" s="14">
        <v>0</v>
      </c>
      <c r="Q41" s="14">
        <v>318.866666666667</v>
      </c>
      <c r="R41" s="14">
        <v>30.8333333333333</v>
      </c>
      <c r="S41" s="14">
        <v>32.9666666666667</v>
      </c>
      <c r="T41" s="14">
        <v>307.2</v>
      </c>
      <c r="U41" s="14">
        <v>0</v>
      </c>
      <c r="V41" s="14">
        <v>263.2</v>
      </c>
      <c r="W41" s="14">
        <v>40.1</v>
      </c>
      <c r="X41" s="14">
        <v>0</v>
      </c>
      <c r="Y41" s="14">
        <v>0</v>
      </c>
      <c r="Z41" s="14">
        <v>0</v>
      </c>
      <c r="AA41" s="14">
        <v>580.266666666667</v>
      </c>
      <c r="AB41" s="14">
        <v>0</v>
      </c>
      <c r="AC41" s="14">
        <v>0</v>
      </c>
      <c r="AD41" s="14">
        <v>633.966666666667</v>
      </c>
      <c r="AE41" s="14">
        <v>23.6333333333333</v>
      </c>
      <c r="AF41" s="14">
        <v>0</v>
      </c>
    </row>
    <row r="42" spans="1:32">
      <c r="A42" s="1">
        <v>1249</v>
      </c>
      <c r="B42" s="13">
        <v>38656</v>
      </c>
      <c r="C42" s="14">
        <v>125.58064516129</v>
      </c>
      <c r="D42" s="14">
        <v>237.903225806452</v>
      </c>
      <c r="E42" s="14">
        <v>0</v>
      </c>
      <c r="F42" s="14">
        <v>1062.41935483871</v>
      </c>
      <c r="G42" s="14">
        <v>261.258064516129</v>
      </c>
      <c r="H42" s="14">
        <v>0</v>
      </c>
      <c r="I42" s="14">
        <v>0</v>
      </c>
      <c r="J42" s="14">
        <v>314.161290322581</v>
      </c>
      <c r="K42" s="14">
        <v>491.612903225806</v>
      </c>
      <c r="L42" s="14">
        <v>230.774193548387</v>
      </c>
      <c r="M42" s="14">
        <v>263.645161290323</v>
      </c>
      <c r="N42" s="14">
        <v>179.483870967742</v>
      </c>
      <c r="O42" s="14">
        <v>201.548387096774</v>
      </c>
      <c r="P42" s="14">
        <v>0</v>
      </c>
      <c r="Q42" s="14">
        <v>318.516129032258</v>
      </c>
      <c r="R42" s="14">
        <v>1.38709677419355</v>
      </c>
      <c r="S42" s="14">
        <v>17.6451612903226</v>
      </c>
      <c r="T42" s="14">
        <v>239.774193548387</v>
      </c>
      <c r="U42" s="14">
        <v>0</v>
      </c>
      <c r="V42" s="14">
        <v>171.387096774194</v>
      </c>
      <c r="W42" s="14">
        <v>83.3548387096774</v>
      </c>
      <c r="X42" s="14">
        <v>0</v>
      </c>
      <c r="Y42" s="14">
        <v>0</v>
      </c>
      <c r="Z42" s="14">
        <v>0</v>
      </c>
      <c r="AA42" s="14">
        <v>217.870967741935</v>
      </c>
      <c r="AB42" s="14">
        <v>1326.35483870968</v>
      </c>
      <c r="AC42" s="14">
        <v>993.967741935484</v>
      </c>
      <c r="AD42" s="14">
        <v>721.387096774194</v>
      </c>
      <c r="AE42" s="14">
        <v>0</v>
      </c>
      <c r="AF42" s="14">
        <v>0</v>
      </c>
    </row>
    <row r="43" spans="1:32">
      <c r="A43" s="1">
        <v>1279</v>
      </c>
      <c r="B43" s="13">
        <v>38686</v>
      </c>
      <c r="C43" s="14">
        <v>160.966666666667</v>
      </c>
      <c r="D43" s="14">
        <v>252.766666666667</v>
      </c>
      <c r="E43" s="14">
        <v>0</v>
      </c>
      <c r="F43" s="14">
        <v>1071.7</v>
      </c>
      <c r="G43" s="14">
        <v>276.7</v>
      </c>
      <c r="H43" s="14">
        <v>0</v>
      </c>
      <c r="I43" s="14">
        <v>0</v>
      </c>
      <c r="J43" s="14">
        <v>314.466666666667</v>
      </c>
      <c r="K43" s="14">
        <v>106.033333333333</v>
      </c>
      <c r="L43" s="14">
        <v>114.066666666667</v>
      </c>
      <c r="M43" s="14">
        <v>247.533333333333</v>
      </c>
      <c r="N43" s="14">
        <v>177</v>
      </c>
      <c r="O43" s="14">
        <v>288.533333333333</v>
      </c>
      <c r="P43" s="14">
        <v>0</v>
      </c>
      <c r="Q43" s="14">
        <v>278.066666666667</v>
      </c>
      <c r="R43" s="14">
        <v>28.2333333333333</v>
      </c>
      <c r="S43" s="14">
        <v>67.6333333333333</v>
      </c>
      <c r="T43" s="14">
        <v>198.866666666667</v>
      </c>
      <c r="U43" s="14">
        <v>0</v>
      </c>
      <c r="V43" s="14">
        <v>172.033333333333</v>
      </c>
      <c r="W43" s="14">
        <v>79.3</v>
      </c>
      <c r="X43" s="14">
        <v>0</v>
      </c>
      <c r="Y43" s="14">
        <v>0</v>
      </c>
      <c r="Z43" s="14">
        <v>0</v>
      </c>
      <c r="AA43" s="14">
        <v>11.5333333333333</v>
      </c>
      <c r="AB43" s="14">
        <v>582.1</v>
      </c>
      <c r="AC43" s="14">
        <v>745.033333333333</v>
      </c>
      <c r="AD43" s="14">
        <v>1040.76666666667</v>
      </c>
      <c r="AE43" s="14">
        <v>402.633333333333</v>
      </c>
      <c r="AF43" s="14">
        <v>0</v>
      </c>
    </row>
    <row r="44" spans="1:32">
      <c r="A44" s="1">
        <v>1310</v>
      </c>
      <c r="B44" s="13">
        <v>38717</v>
      </c>
      <c r="C44" s="14">
        <v>170.935483870968</v>
      </c>
      <c r="D44" s="14">
        <v>354.032258064516</v>
      </c>
      <c r="E44" s="14">
        <v>0</v>
      </c>
      <c r="F44" s="14">
        <v>1078.25806451613</v>
      </c>
      <c r="G44" s="14">
        <v>22.5161290322581</v>
      </c>
      <c r="H44" s="14">
        <v>0</v>
      </c>
      <c r="I44" s="14">
        <v>0</v>
      </c>
      <c r="J44" s="14">
        <v>148.354838709677</v>
      </c>
      <c r="K44" s="14">
        <v>0</v>
      </c>
      <c r="L44" s="14">
        <v>0</v>
      </c>
      <c r="M44" s="14">
        <v>0</v>
      </c>
      <c r="N44" s="14">
        <v>176.806451612903</v>
      </c>
      <c r="O44" s="14">
        <v>289.677419354839</v>
      </c>
      <c r="P44" s="14">
        <v>0</v>
      </c>
      <c r="Q44" s="14">
        <v>405.387096774194</v>
      </c>
      <c r="R44" s="14">
        <v>5.32258064516129</v>
      </c>
      <c r="S44" s="14">
        <v>81.1290322580645</v>
      </c>
      <c r="T44" s="14">
        <v>157.354838709677</v>
      </c>
      <c r="U44" s="14">
        <v>0</v>
      </c>
      <c r="V44" s="14">
        <v>101.354838709677</v>
      </c>
      <c r="W44" s="14">
        <v>76.7741935483871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613.516129032258</v>
      </c>
      <c r="AE44" s="14">
        <v>236.58064516129</v>
      </c>
      <c r="AF44" s="14">
        <v>0</v>
      </c>
    </row>
    <row r="45" spans="1:32">
      <c r="A45" s="1">
        <v>1341</v>
      </c>
      <c r="B45" s="13">
        <v>38748</v>
      </c>
      <c r="C45" s="14">
        <v>379.354838709677</v>
      </c>
      <c r="D45" s="14">
        <v>627.935483870968</v>
      </c>
      <c r="E45" s="14">
        <v>0</v>
      </c>
      <c r="F45" s="14">
        <v>669.483870967742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177.096774193548</v>
      </c>
      <c r="O45" s="14">
        <v>290.032258064516</v>
      </c>
      <c r="P45" s="14">
        <v>0</v>
      </c>
      <c r="Q45" s="14">
        <v>386.709677419355</v>
      </c>
      <c r="R45" s="14">
        <v>0</v>
      </c>
      <c r="S45" s="14">
        <v>106.935483870968</v>
      </c>
      <c r="T45" s="14">
        <v>157.58064516129</v>
      </c>
      <c r="U45" s="14">
        <v>0</v>
      </c>
      <c r="V45" s="14">
        <v>144.612903225806</v>
      </c>
      <c r="W45" s="14">
        <v>46.4516129032258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892.354838709677</v>
      </c>
      <c r="AE45" s="14">
        <v>816.290322580645</v>
      </c>
      <c r="AF45" s="14">
        <v>828.516129032258</v>
      </c>
    </row>
    <row r="46" spans="1:32">
      <c r="A46" s="1">
        <v>1369</v>
      </c>
      <c r="B46" s="13">
        <v>38776</v>
      </c>
      <c r="C46" s="14">
        <v>390.892857142857</v>
      </c>
      <c r="D46" s="14">
        <v>518.285714285714</v>
      </c>
      <c r="E46" s="14">
        <v>0</v>
      </c>
      <c r="F46" s="14">
        <v>381.107142857143</v>
      </c>
      <c r="G46" s="14">
        <v>49.4642857142857</v>
      </c>
      <c r="H46" s="14">
        <v>0</v>
      </c>
      <c r="I46" s="14">
        <v>0</v>
      </c>
      <c r="J46" s="14">
        <v>86.3928571428571</v>
      </c>
      <c r="K46" s="14">
        <v>370.607142857143</v>
      </c>
      <c r="L46" s="14">
        <v>0</v>
      </c>
      <c r="M46" s="14">
        <v>11.9285714285714</v>
      </c>
      <c r="N46" s="14">
        <v>162.928571428571</v>
      </c>
      <c r="O46" s="14">
        <v>206.214285714286</v>
      </c>
      <c r="P46" s="14">
        <v>0</v>
      </c>
      <c r="Q46" s="14">
        <v>394</v>
      </c>
      <c r="R46" s="14">
        <v>42.3928571428571</v>
      </c>
      <c r="S46" s="14">
        <v>283.928571428571</v>
      </c>
      <c r="T46" s="14">
        <v>144.785714285714</v>
      </c>
      <c r="U46" s="14">
        <v>0</v>
      </c>
      <c r="V46" s="14">
        <v>185.357142857143</v>
      </c>
      <c r="W46" s="14">
        <v>135.142857142857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</row>
    <row r="47" spans="1:32">
      <c r="A47" s="1">
        <v>1400</v>
      </c>
      <c r="B47" s="13">
        <v>38807</v>
      </c>
      <c r="C47" s="14">
        <v>180.354838709677</v>
      </c>
      <c r="D47" s="14">
        <v>225.290322580645</v>
      </c>
      <c r="E47" s="14">
        <v>0</v>
      </c>
      <c r="F47" s="14">
        <v>512.838709677419</v>
      </c>
      <c r="G47" s="14">
        <v>17.5161290322581</v>
      </c>
      <c r="H47" s="14">
        <v>0</v>
      </c>
      <c r="I47" s="14">
        <v>0</v>
      </c>
      <c r="J47" s="14">
        <v>0</v>
      </c>
      <c r="K47" s="14">
        <v>176.58064516129</v>
      </c>
      <c r="L47" s="14">
        <v>233.677419354839</v>
      </c>
      <c r="M47" s="14">
        <v>412.548387096774</v>
      </c>
      <c r="N47" s="14">
        <v>185.354838709677</v>
      </c>
      <c r="O47" s="14">
        <v>91.5161290322581</v>
      </c>
      <c r="P47" s="14">
        <v>205.967741935484</v>
      </c>
      <c r="Q47" s="14">
        <v>171.193548387097</v>
      </c>
      <c r="R47" s="14">
        <v>15.8709677419355</v>
      </c>
      <c r="S47" s="14">
        <v>266.483870967742</v>
      </c>
      <c r="T47" s="14">
        <v>121.290322580645</v>
      </c>
      <c r="U47" s="14">
        <v>0</v>
      </c>
      <c r="V47" s="14">
        <v>157.645161290323</v>
      </c>
      <c r="W47" s="14">
        <v>185.032258064516</v>
      </c>
      <c r="X47" s="14">
        <v>0</v>
      </c>
      <c r="Y47" s="14">
        <v>0</v>
      </c>
      <c r="Z47" s="14">
        <v>0</v>
      </c>
      <c r="AA47" s="14">
        <v>0</v>
      </c>
      <c r="AB47" s="14">
        <v>107.58064516129</v>
      </c>
      <c r="AC47" s="14">
        <v>108.903225806452</v>
      </c>
      <c r="AD47" s="14">
        <v>107.709677419355</v>
      </c>
      <c r="AE47" s="14">
        <v>108.483870967742</v>
      </c>
      <c r="AF47" s="14">
        <v>107.516129032258</v>
      </c>
    </row>
    <row r="48" spans="1:32">
      <c r="A48" s="1">
        <v>1430</v>
      </c>
      <c r="B48" s="13">
        <v>38837</v>
      </c>
      <c r="C48" s="14">
        <v>0</v>
      </c>
      <c r="D48" s="14">
        <v>215.4</v>
      </c>
      <c r="E48" s="14">
        <v>43.5666666666667</v>
      </c>
      <c r="F48" s="14">
        <v>342.533333333333</v>
      </c>
      <c r="G48" s="14">
        <v>59.3</v>
      </c>
      <c r="H48" s="14">
        <v>0</v>
      </c>
      <c r="I48" s="14">
        <v>0</v>
      </c>
      <c r="J48" s="14">
        <v>0</v>
      </c>
      <c r="K48" s="14">
        <v>577.7</v>
      </c>
      <c r="L48" s="14">
        <v>79</v>
      </c>
      <c r="M48" s="14">
        <v>122.166666666667</v>
      </c>
      <c r="N48" s="14">
        <v>182.1</v>
      </c>
      <c r="O48" s="14">
        <v>69.0666666666667</v>
      </c>
      <c r="P48" s="14">
        <v>631.5</v>
      </c>
      <c r="Q48" s="14">
        <v>156.4</v>
      </c>
      <c r="R48" s="14">
        <v>95.6333333333333</v>
      </c>
      <c r="S48" s="14">
        <v>162.4</v>
      </c>
      <c r="T48" s="14">
        <v>74.7666666666667</v>
      </c>
      <c r="U48" s="14">
        <v>58.4</v>
      </c>
      <c r="V48" s="14">
        <v>65.0333333333333</v>
      </c>
      <c r="W48" s="14">
        <v>59.1</v>
      </c>
      <c r="X48" s="14">
        <v>0</v>
      </c>
      <c r="Y48" s="14">
        <v>0</v>
      </c>
      <c r="Z48" s="14">
        <v>0</v>
      </c>
      <c r="AA48" s="14">
        <v>747.933333333333</v>
      </c>
      <c r="AB48" s="14">
        <v>994.066666666667</v>
      </c>
      <c r="AC48" s="14">
        <v>984.266666666667</v>
      </c>
      <c r="AD48" s="14">
        <v>1011.53333333333</v>
      </c>
      <c r="AE48" s="14">
        <v>1022.8</v>
      </c>
      <c r="AF48" s="14">
        <v>1057.03333333333</v>
      </c>
    </row>
    <row r="49" spans="1:32">
      <c r="A49" s="1">
        <v>1461</v>
      </c>
      <c r="B49" s="13">
        <v>38868</v>
      </c>
      <c r="C49" s="14">
        <v>121.354838709677</v>
      </c>
      <c r="D49" s="14">
        <v>229.032258064516</v>
      </c>
      <c r="E49" s="14">
        <v>61.4516129032258</v>
      </c>
      <c r="F49" s="14">
        <v>380.612903225806</v>
      </c>
      <c r="G49" s="14">
        <v>243.548387096774</v>
      </c>
      <c r="H49" s="14">
        <v>0</v>
      </c>
      <c r="I49" s="14">
        <v>0</v>
      </c>
      <c r="J49" s="14">
        <v>152.258064516129</v>
      </c>
      <c r="K49" s="14">
        <v>627.741935483871</v>
      </c>
      <c r="L49" s="14">
        <v>1.96774193548387</v>
      </c>
      <c r="M49" s="14">
        <v>101.516129032258</v>
      </c>
      <c r="N49" s="14">
        <v>113.58064516129</v>
      </c>
      <c r="O49" s="14">
        <v>43.1935483870968</v>
      </c>
      <c r="P49" s="14">
        <v>911.41935483871</v>
      </c>
      <c r="Q49" s="14">
        <v>101.838709677419</v>
      </c>
      <c r="R49" s="14">
        <v>78.0645161290323</v>
      </c>
      <c r="S49" s="14">
        <v>135.709677419355</v>
      </c>
      <c r="T49" s="14">
        <v>79.7096774193548</v>
      </c>
      <c r="U49" s="14">
        <v>32.9032258064516</v>
      </c>
      <c r="V49" s="14">
        <v>42.9354838709677</v>
      </c>
      <c r="W49" s="14">
        <v>121.193548387097</v>
      </c>
      <c r="X49" s="14">
        <v>0</v>
      </c>
      <c r="Y49" s="14">
        <v>0</v>
      </c>
      <c r="Z49" s="14">
        <v>0</v>
      </c>
      <c r="AA49" s="14">
        <v>1013.74193548387</v>
      </c>
      <c r="AB49" s="14">
        <v>1014.1935483871</v>
      </c>
      <c r="AC49" s="14">
        <v>1019.16129032258</v>
      </c>
      <c r="AD49" s="14">
        <v>1021.74193548387</v>
      </c>
      <c r="AE49" s="14">
        <v>990.258064516129</v>
      </c>
      <c r="AF49" s="14">
        <v>1008.96774193548</v>
      </c>
    </row>
    <row r="50" spans="1:32">
      <c r="A50" s="1">
        <v>1491</v>
      </c>
      <c r="B50" s="13">
        <v>38898</v>
      </c>
      <c r="C50" s="14">
        <v>186.333333333333</v>
      </c>
      <c r="D50" s="14">
        <v>361.866666666667</v>
      </c>
      <c r="E50" s="14">
        <v>111.6</v>
      </c>
      <c r="F50" s="14">
        <v>396.233333333333</v>
      </c>
      <c r="G50" s="14">
        <v>199.7</v>
      </c>
      <c r="H50" s="14">
        <v>0</v>
      </c>
      <c r="I50" s="14">
        <v>0</v>
      </c>
      <c r="J50" s="14">
        <v>264.833333333333</v>
      </c>
      <c r="K50" s="14">
        <v>682.1</v>
      </c>
      <c r="L50" s="14">
        <v>0</v>
      </c>
      <c r="M50" s="14">
        <v>237.266666666667</v>
      </c>
      <c r="N50" s="14">
        <v>0</v>
      </c>
      <c r="O50" s="14">
        <v>0</v>
      </c>
      <c r="P50" s="14">
        <v>953</v>
      </c>
      <c r="Q50" s="14">
        <v>0</v>
      </c>
      <c r="R50" s="14">
        <v>49.8666666666667</v>
      </c>
      <c r="S50" s="14">
        <v>102.266666666667</v>
      </c>
      <c r="T50" s="14">
        <v>79.9666666666667</v>
      </c>
      <c r="U50" s="14">
        <v>10.4333333333333</v>
      </c>
      <c r="V50" s="14">
        <v>0</v>
      </c>
      <c r="W50" s="14">
        <v>192.9</v>
      </c>
      <c r="X50" s="14">
        <v>0</v>
      </c>
      <c r="Y50" s="14">
        <v>0</v>
      </c>
      <c r="Z50" s="14">
        <v>0</v>
      </c>
      <c r="AA50" s="14">
        <v>1017.13333333333</v>
      </c>
      <c r="AB50" s="14">
        <v>1028.66666666667</v>
      </c>
      <c r="AC50" s="14">
        <v>1025.5</v>
      </c>
      <c r="AD50" s="14">
        <v>1015.06666666667</v>
      </c>
      <c r="AE50" s="14">
        <v>1019.26666666667</v>
      </c>
      <c r="AF50" s="14">
        <v>1002.66666666667</v>
      </c>
    </row>
    <row r="51" spans="1:32">
      <c r="A51" s="1">
        <v>1522</v>
      </c>
      <c r="B51" s="13">
        <v>38929</v>
      </c>
      <c r="C51" s="14">
        <v>198.774193548387</v>
      </c>
      <c r="D51" s="14">
        <v>410.225806451613</v>
      </c>
      <c r="E51" s="14">
        <v>116.225806451613</v>
      </c>
      <c r="F51" s="14">
        <v>410.096774193548</v>
      </c>
      <c r="G51" s="14">
        <v>154.870967741935</v>
      </c>
      <c r="H51" s="14">
        <v>0</v>
      </c>
      <c r="I51" s="14">
        <v>0</v>
      </c>
      <c r="J51" s="14">
        <v>216.645161290323</v>
      </c>
      <c r="K51" s="14">
        <v>788.645161290323</v>
      </c>
      <c r="L51" s="14">
        <v>342.677419354839</v>
      </c>
      <c r="M51" s="14">
        <v>356.193548387097</v>
      </c>
      <c r="N51" s="14">
        <v>162.612903225806</v>
      </c>
      <c r="O51" s="14">
        <v>0</v>
      </c>
      <c r="P51" s="14">
        <v>952.451612903226</v>
      </c>
      <c r="Q51" s="14">
        <v>882.709677419355</v>
      </c>
      <c r="R51" s="14">
        <v>63.741935483871</v>
      </c>
      <c r="S51" s="14">
        <v>181.774193548387</v>
      </c>
      <c r="T51" s="14">
        <v>78.2903225806452</v>
      </c>
      <c r="U51" s="14">
        <v>0</v>
      </c>
      <c r="V51" s="14">
        <v>0</v>
      </c>
      <c r="W51" s="14">
        <v>156.838709677419</v>
      </c>
      <c r="X51" s="14">
        <v>0</v>
      </c>
      <c r="Y51" s="14">
        <v>0</v>
      </c>
      <c r="Z51" s="14">
        <v>0</v>
      </c>
      <c r="AA51" s="14">
        <v>1011.90322580645</v>
      </c>
      <c r="AB51" s="14">
        <v>998.193548387097</v>
      </c>
      <c r="AC51" s="14">
        <v>1022.38709677419</v>
      </c>
      <c r="AD51" s="14">
        <v>1015.38709677419</v>
      </c>
      <c r="AE51" s="14">
        <v>1014.51612903226</v>
      </c>
      <c r="AF51" s="14">
        <v>1019.67741935484</v>
      </c>
    </row>
    <row r="52" spans="1:32">
      <c r="A52" s="1">
        <v>1553</v>
      </c>
      <c r="B52" s="13">
        <v>38960</v>
      </c>
      <c r="C52" s="14">
        <v>217.774193548387</v>
      </c>
      <c r="D52" s="14">
        <v>387.677419354839</v>
      </c>
      <c r="E52" s="14">
        <v>112.838709677419</v>
      </c>
      <c r="F52" s="14">
        <v>400.903225806452</v>
      </c>
      <c r="G52" s="14">
        <v>201.096774193548</v>
      </c>
      <c r="H52" s="14">
        <v>0</v>
      </c>
      <c r="I52" s="14">
        <v>0</v>
      </c>
      <c r="J52" s="14">
        <v>432.322580645161</v>
      </c>
      <c r="K52" s="14">
        <v>745.935483870968</v>
      </c>
      <c r="L52" s="14">
        <v>350.064516129032</v>
      </c>
      <c r="M52" s="14">
        <v>380.58064516129</v>
      </c>
      <c r="N52" s="14">
        <v>185.41935483871</v>
      </c>
      <c r="O52" s="14">
        <v>0</v>
      </c>
      <c r="P52" s="14">
        <v>1477.32258064516</v>
      </c>
      <c r="Q52" s="14">
        <v>913.967741935484</v>
      </c>
      <c r="R52" s="14">
        <v>100.677419354839</v>
      </c>
      <c r="S52" s="14">
        <v>188.967741935484</v>
      </c>
      <c r="T52" s="14">
        <v>101.806451612903</v>
      </c>
      <c r="U52" s="14">
        <v>43.5806451612903</v>
      </c>
      <c r="V52" s="14">
        <v>0</v>
      </c>
      <c r="W52" s="14">
        <v>147.096774193548</v>
      </c>
      <c r="X52" s="14">
        <v>0</v>
      </c>
      <c r="Y52" s="14">
        <v>0</v>
      </c>
      <c r="Z52" s="14">
        <v>0</v>
      </c>
      <c r="AA52" s="14">
        <v>203.903225806452</v>
      </c>
      <c r="AB52" s="14">
        <v>934.677419354839</v>
      </c>
      <c r="AC52" s="14">
        <v>897.096774193548</v>
      </c>
      <c r="AD52" s="14">
        <v>962.838709677419</v>
      </c>
      <c r="AE52" s="14">
        <v>879.774193548387</v>
      </c>
      <c r="AF52" s="14">
        <v>1022.12903225806</v>
      </c>
    </row>
    <row r="53" spans="1:32">
      <c r="A53" s="1">
        <v>1583</v>
      </c>
      <c r="B53" s="13">
        <v>38990</v>
      </c>
      <c r="C53" s="14">
        <v>239.5</v>
      </c>
      <c r="D53" s="14">
        <v>382</v>
      </c>
      <c r="E53" s="14">
        <v>81.2666666666667</v>
      </c>
      <c r="F53" s="14">
        <v>433.766666666667</v>
      </c>
      <c r="G53" s="14">
        <v>246.9</v>
      </c>
      <c r="H53" s="14">
        <v>0</v>
      </c>
      <c r="I53" s="14">
        <v>0</v>
      </c>
      <c r="J53" s="14">
        <v>519.7</v>
      </c>
      <c r="K53" s="14">
        <v>752.3</v>
      </c>
      <c r="L53" s="14">
        <v>435.1</v>
      </c>
      <c r="M53" s="14">
        <v>397.366666666667</v>
      </c>
      <c r="N53" s="14">
        <v>113.166666666667</v>
      </c>
      <c r="O53" s="14">
        <v>18.9</v>
      </c>
      <c r="P53" s="14">
        <v>1402.76666666667</v>
      </c>
      <c r="Q53" s="14">
        <v>745.366666666667</v>
      </c>
      <c r="R53" s="14">
        <v>112.3</v>
      </c>
      <c r="S53" s="14">
        <v>195.433333333333</v>
      </c>
      <c r="T53" s="14">
        <v>438.633333333333</v>
      </c>
      <c r="U53" s="14">
        <v>146.9</v>
      </c>
      <c r="V53" s="14">
        <v>0</v>
      </c>
      <c r="W53" s="14">
        <v>150.2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</row>
    <row r="54" spans="1:32">
      <c r="A54" s="1">
        <v>1614</v>
      </c>
      <c r="B54" s="13">
        <v>39021</v>
      </c>
      <c r="C54" s="14">
        <v>252.032258064516</v>
      </c>
      <c r="D54" s="14">
        <v>476.451612903226</v>
      </c>
      <c r="E54" s="14">
        <v>123.161290322581</v>
      </c>
      <c r="F54" s="14">
        <v>477.806451612903</v>
      </c>
      <c r="G54" s="14">
        <v>299.838709677419</v>
      </c>
      <c r="H54" s="14">
        <v>108.193548387097</v>
      </c>
      <c r="I54" s="14">
        <v>0</v>
      </c>
      <c r="J54" s="14">
        <v>603.225806451613</v>
      </c>
      <c r="K54" s="14">
        <v>932.064516129032</v>
      </c>
      <c r="L54" s="14">
        <v>553.838709677419</v>
      </c>
      <c r="M54" s="14">
        <v>405.161290322581</v>
      </c>
      <c r="N54" s="14">
        <v>223.677419354839</v>
      </c>
      <c r="O54" s="14">
        <v>137.548387096774</v>
      </c>
      <c r="P54" s="14">
        <v>1702.12903225806</v>
      </c>
      <c r="Q54" s="14">
        <v>738.58064516129</v>
      </c>
      <c r="R54" s="14">
        <v>109.516129032258</v>
      </c>
      <c r="S54" s="14">
        <v>269.645161290323</v>
      </c>
      <c r="T54" s="14">
        <v>484.387096774194</v>
      </c>
      <c r="U54" s="14">
        <v>117.096774193548</v>
      </c>
      <c r="V54" s="14">
        <v>1070.70967741935</v>
      </c>
      <c r="W54" s="14">
        <v>183.612903225806</v>
      </c>
      <c r="X54" s="14">
        <v>0</v>
      </c>
      <c r="Y54" s="14">
        <v>0</v>
      </c>
      <c r="Z54" s="14">
        <v>0</v>
      </c>
      <c r="AA54" s="14">
        <v>997.161290322581</v>
      </c>
      <c r="AB54" s="14">
        <v>1024.38709677419</v>
      </c>
      <c r="AC54" s="14">
        <v>1026.29032258065</v>
      </c>
      <c r="AD54" s="14">
        <v>1030.83870967742</v>
      </c>
      <c r="AE54" s="14">
        <v>1009.61290322581</v>
      </c>
      <c r="AF54" s="14">
        <v>1027.09677419355</v>
      </c>
    </row>
    <row r="55" spans="1:32">
      <c r="A55" s="1">
        <v>1644</v>
      </c>
      <c r="B55" s="13">
        <v>39051</v>
      </c>
      <c r="C55" s="14">
        <v>235.633333333333</v>
      </c>
      <c r="D55" s="14">
        <v>424.433333333333</v>
      </c>
      <c r="E55" s="14">
        <v>115</v>
      </c>
      <c r="F55" s="14">
        <v>498.8</v>
      </c>
      <c r="G55" s="14">
        <v>325.633333333333</v>
      </c>
      <c r="H55" s="14">
        <v>112.4</v>
      </c>
      <c r="I55" s="14">
        <v>0</v>
      </c>
      <c r="J55" s="14">
        <v>656.166666666667</v>
      </c>
      <c r="K55" s="14">
        <v>1060.9</v>
      </c>
      <c r="L55" s="14">
        <v>644.666666666667</v>
      </c>
      <c r="M55" s="14">
        <v>482.233333333333</v>
      </c>
      <c r="N55" s="14">
        <v>278.1</v>
      </c>
      <c r="O55" s="14">
        <v>237.6</v>
      </c>
      <c r="P55" s="14">
        <v>1627.53333333333</v>
      </c>
      <c r="Q55" s="14">
        <v>745.4</v>
      </c>
      <c r="R55" s="14">
        <v>102.233333333333</v>
      </c>
      <c r="S55" s="14">
        <v>299.933333333333</v>
      </c>
      <c r="T55" s="14">
        <v>452.233333333333</v>
      </c>
      <c r="U55" s="14">
        <v>152.433333333333</v>
      </c>
      <c r="V55" s="14">
        <v>1404.46666666667</v>
      </c>
      <c r="W55" s="14">
        <v>145.833333333333</v>
      </c>
      <c r="X55" s="14">
        <v>0</v>
      </c>
      <c r="Y55" s="14">
        <v>0</v>
      </c>
      <c r="Z55" s="14">
        <v>0</v>
      </c>
      <c r="AA55" s="14">
        <v>1004.26666666667</v>
      </c>
      <c r="AB55" s="14">
        <v>1002.36666666667</v>
      </c>
      <c r="AC55" s="14">
        <v>1005.8</v>
      </c>
      <c r="AD55" s="14">
        <v>997.366666666667</v>
      </c>
      <c r="AE55" s="14">
        <v>999.2</v>
      </c>
      <c r="AF55" s="14">
        <v>1008.9</v>
      </c>
    </row>
    <row r="56" spans="1:32">
      <c r="A56" s="1">
        <v>1675</v>
      </c>
      <c r="B56" s="13">
        <v>39082</v>
      </c>
      <c r="C56" s="14">
        <v>219.612903225806</v>
      </c>
      <c r="D56" s="14">
        <v>237.612903225806</v>
      </c>
      <c r="E56" s="14">
        <v>111.161290322581</v>
      </c>
      <c r="F56" s="14">
        <v>215.58064516129</v>
      </c>
      <c r="G56" s="14">
        <v>318.096774193548</v>
      </c>
      <c r="H56" s="14">
        <v>113.548387096774</v>
      </c>
      <c r="I56" s="14">
        <v>0</v>
      </c>
      <c r="J56" s="14">
        <v>602.58064516129</v>
      </c>
      <c r="K56" s="14">
        <v>746.258064516129</v>
      </c>
      <c r="L56" s="14">
        <v>555.451612903226</v>
      </c>
      <c r="M56" s="14">
        <v>356.064516129032</v>
      </c>
      <c r="N56" s="14">
        <v>316.290322580645</v>
      </c>
      <c r="O56" s="14">
        <v>202.225806451613</v>
      </c>
      <c r="P56" s="14">
        <v>1165.35483870968</v>
      </c>
      <c r="Q56" s="14">
        <v>753.322580645161</v>
      </c>
      <c r="R56" s="14">
        <v>63.0645161290323</v>
      </c>
      <c r="S56" s="14">
        <v>232.193548387097</v>
      </c>
      <c r="T56" s="14">
        <v>214.483870967742</v>
      </c>
      <c r="U56" s="14">
        <v>148.387096774194</v>
      </c>
      <c r="V56" s="14">
        <v>593.903225806452</v>
      </c>
      <c r="W56" s="14">
        <v>523.193548387097</v>
      </c>
      <c r="X56" s="14">
        <v>0</v>
      </c>
      <c r="Y56" s="14">
        <v>0</v>
      </c>
      <c r="Z56" s="14">
        <v>0</v>
      </c>
      <c r="AA56" s="14">
        <v>1049.96774193548</v>
      </c>
      <c r="AB56" s="14">
        <v>1033.38709677419</v>
      </c>
      <c r="AC56" s="14">
        <v>301.129032258065</v>
      </c>
      <c r="AD56" s="14">
        <v>906.612903225806</v>
      </c>
      <c r="AE56" s="14">
        <v>1017.87096774194</v>
      </c>
      <c r="AF56" s="14">
        <v>1042.06451612903</v>
      </c>
    </row>
    <row r="57" spans="1:32">
      <c r="A57" s="1">
        <v>1706</v>
      </c>
      <c r="B57" s="13">
        <v>39113</v>
      </c>
      <c r="C57" s="14">
        <v>203.354838709677</v>
      </c>
      <c r="D57" s="14">
        <v>339.741935483871</v>
      </c>
      <c r="E57" s="14">
        <v>146.645161290323</v>
      </c>
      <c r="F57" s="14">
        <v>523.838709677419</v>
      </c>
      <c r="G57" s="14">
        <v>314</v>
      </c>
      <c r="H57" s="14">
        <v>114.129032258065</v>
      </c>
      <c r="I57" s="14">
        <v>0</v>
      </c>
      <c r="J57" s="14">
        <v>570.516129032258</v>
      </c>
      <c r="K57" s="14">
        <v>1222.67741935484</v>
      </c>
      <c r="L57" s="14">
        <v>447.129032258065</v>
      </c>
      <c r="M57" s="14">
        <v>502.483870967742</v>
      </c>
      <c r="N57" s="14">
        <v>172.290322580645</v>
      </c>
      <c r="O57" s="14">
        <v>93.3870967741936</v>
      </c>
      <c r="P57" s="14">
        <v>1122.64516129032</v>
      </c>
      <c r="Q57" s="14">
        <v>697</v>
      </c>
      <c r="R57" s="14">
        <v>74.8387096774194</v>
      </c>
      <c r="S57" s="14">
        <v>87.741935483871</v>
      </c>
      <c r="T57" s="14">
        <v>611.064516129032</v>
      </c>
      <c r="U57" s="14">
        <v>134.838709677419</v>
      </c>
      <c r="V57" s="14">
        <v>917.612903225806</v>
      </c>
      <c r="W57" s="14">
        <v>894.032258064516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1071.61290322581</v>
      </c>
      <c r="AE57" s="14">
        <v>0</v>
      </c>
      <c r="AF57" s="14">
        <v>0</v>
      </c>
    </row>
    <row r="58" spans="1:32">
      <c r="A58" s="1">
        <v>1734</v>
      </c>
      <c r="B58" s="13">
        <v>39141</v>
      </c>
      <c r="C58" s="14">
        <v>203.464285714286</v>
      </c>
      <c r="D58" s="14">
        <v>262.678571428571</v>
      </c>
      <c r="E58" s="14">
        <v>121.571428571429</v>
      </c>
      <c r="F58" s="14">
        <v>1305.60714285714</v>
      </c>
      <c r="G58" s="14">
        <v>281.5</v>
      </c>
      <c r="H58" s="14">
        <v>97.7142857142857</v>
      </c>
      <c r="I58" s="14">
        <v>0</v>
      </c>
      <c r="J58" s="14">
        <v>547.928571428571</v>
      </c>
      <c r="K58" s="14">
        <v>1008.39285714286</v>
      </c>
      <c r="L58" s="14">
        <v>441.928571428571</v>
      </c>
      <c r="M58" s="14">
        <v>133.428571428571</v>
      </c>
      <c r="N58" s="14">
        <v>978.928571428571</v>
      </c>
      <c r="O58" s="14">
        <v>83</v>
      </c>
      <c r="P58" s="14">
        <v>972.928571428571</v>
      </c>
      <c r="Q58" s="14">
        <v>831.107142857143</v>
      </c>
      <c r="R58" s="14">
        <v>68.5</v>
      </c>
      <c r="S58" s="14">
        <v>121.464285714286</v>
      </c>
      <c r="T58" s="14">
        <v>498.571428571429</v>
      </c>
      <c r="U58" s="14">
        <v>160.107142857143</v>
      </c>
      <c r="V58" s="14">
        <v>862.714285714286</v>
      </c>
      <c r="W58" s="14">
        <v>799.142857142857</v>
      </c>
      <c r="X58" s="14">
        <v>0</v>
      </c>
      <c r="Y58" s="14">
        <v>0</v>
      </c>
      <c r="Z58" s="14">
        <v>0</v>
      </c>
      <c r="AA58" s="14">
        <v>1025.53571428571</v>
      </c>
      <c r="AB58" s="14">
        <v>1015.96428571429</v>
      </c>
      <c r="AC58" s="14">
        <v>1017.39285714286</v>
      </c>
      <c r="AD58" s="14">
        <v>1048.42857142857</v>
      </c>
      <c r="AE58" s="14">
        <v>972.392857142857</v>
      </c>
      <c r="AF58" s="14">
        <v>890.035714285714</v>
      </c>
    </row>
    <row r="59" spans="1:32">
      <c r="A59" s="1">
        <v>1765</v>
      </c>
      <c r="B59" s="13">
        <v>39172</v>
      </c>
      <c r="C59" s="14">
        <v>204.451612903226</v>
      </c>
      <c r="D59" s="14">
        <v>241.064516129032</v>
      </c>
      <c r="E59" s="14">
        <v>108.064516129032</v>
      </c>
      <c r="F59" s="14">
        <v>1187.54838709677</v>
      </c>
      <c r="G59" s="14">
        <v>269.516129032258</v>
      </c>
      <c r="H59" s="14">
        <v>173.258064516129</v>
      </c>
      <c r="I59" s="14">
        <v>0</v>
      </c>
      <c r="J59" s="14">
        <v>473.193548387097</v>
      </c>
      <c r="K59" s="14">
        <v>953.870967741935</v>
      </c>
      <c r="L59" s="14">
        <v>385.096774193548</v>
      </c>
      <c r="M59" s="14">
        <v>234.451612903226</v>
      </c>
      <c r="N59" s="14">
        <v>1133.06451612903</v>
      </c>
      <c r="O59" s="14">
        <v>79.6451612903226</v>
      </c>
      <c r="P59" s="14">
        <v>862.677419354839</v>
      </c>
      <c r="Q59" s="14">
        <v>769.516129032258</v>
      </c>
      <c r="R59" s="14">
        <v>65.3548387096774</v>
      </c>
      <c r="S59" s="14">
        <v>114.806451612903</v>
      </c>
      <c r="T59" s="14">
        <v>475.290322580645</v>
      </c>
      <c r="U59" s="14">
        <v>151.548387096774</v>
      </c>
      <c r="V59" s="14">
        <v>843.645161290323</v>
      </c>
      <c r="W59" s="14">
        <v>719.935483870968</v>
      </c>
      <c r="X59" s="14">
        <v>0</v>
      </c>
      <c r="Y59" s="14">
        <v>0</v>
      </c>
      <c r="Z59" s="14">
        <v>0</v>
      </c>
      <c r="AA59" s="14">
        <v>1054.1935483871</v>
      </c>
      <c r="AB59" s="14">
        <v>1020.16129032258</v>
      </c>
      <c r="AC59" s="14">
        <v>1069.64516129032</v>
      </c>
      <c r="AD59" s="14">
        <v>1073.38709677419</v>
      </c>
      <c r="AE59" s="14">
        <v>1022.90322580645</v>
      </c>
      <c r="AF59" s="14">
        <v>1019.03225806452</v>
      </c>
    </row>
    <row r="60" spans="1:32">
      <c r="A60" s="1">
        <v>1795</v>
      </c>
      <c r="B60" s="13">
        <v>39202</v>
      </c>
      <c r="C60" s="14">
        <v>170.666666666667</v>
      </c>
      <c r="D60" s="14">
        <v>227.3</v>
      </c>
      <c r="E60" s="14">
        <v>163.166666666667</v>
      </c>
      <c r="F60" s="14">
        <v>753.933333333333</v>
      </c>
      <c r="G60" s="14">
        <v>206.233333333333</v>
      </c>
      <c r="H60" s="14">
        <v>306.633333333333</v>
      </c>
      <c r="I60" s="14">
        <v>0</v>
      </c>
      <c r="J60" s="14">
        <v>453.233333333333</v>
      </c>
      <c r="K60" s="14">
        <v>961.133333333333</v>
      </c>
      <c r="L60" s="14">
        <v>302.033333333333</v>
      </c>
      <c r="M60" s="14">
        <v>485.1</v>
      </c>
      <c r="N60" s="14">
        <v>1255.56666666667</v>
      </c>
      <c r="O60" s="14">
        <v>78.7</v>
      </c>
      <c r="P60" s="14">
        <v>714.2</v>
      </c>
      <c r="Q60" s="14">
        <v>506.933333333333</v>
      </c>
      <c r="R60" s="14">
        <v>52.8</v>
      </c>
      <c r="S60" s="14">
        <v>116.5</v>
      </c>
      <c r="T60" s="14">
        <v>492.766666666667</v>
      </c>
      <c r="U60" s="14">
        <v>135.5</v>
      </c>
      <c r="V60" s="14">
        <v>690.5</v>
      </c>
      <c r="W60" s="14">
        <v>756.533333333333</v>
      </c>
      <c r="X60" s="14">
        <v>0</v>
      </c>
      <c r="Y60" s="14">
        <v>0</v>
      </c>
      <c r="Z60" s="14">
        <v>0</v>
      </c>
      <c r="AA60" s="14">
        <v>969.333333333333</v>
      </c>
      <c r="AB60" s="14">
        <v>1020.96666666667</v>
      </c>
      <c r="AC60" s="14">
        <v>985.866666666667</v>
      </c>
      <c r="AD60" s="14">
        <v>1048.96666666667</v>
      </c>
      <c r="AE60" s="14">
        <v>964.866666666667</v>
      </c>
      <c r="AF60" s="14">
        <v>1012.4</v>
      </c>
    </row>
    <row r="61" spans="1:32">
      <c r="A61" s="1">
        <v>1826</v>
      </c>
      <c r="B61" s="13">
        <v>39233</v>
      </c>
      <c r="C61" s="14">
        <v>162.032258064516</v>
      </c>
      <c r="D61" s="14">
        <v>200.838709677419</v>
      </c>
      <c r="E61" s="14">
        <v>130.548387096774</v>
      </c>
      <c r="F61" s="14">
        <v>1345.96774193548</v>
      </c>
      <c r="G61" s="14">
        <v>70.0645161290323</v>
      </c>
      <c r="H61" s="14">
        <v>319.677419354839</v>
      </c>
      <c r="I61" s="14">
        <v>0</v>
      </c>
      <c r="J61" s="14">
        <v>453.290322580645</v>
      </c>
      <c r="K61" s="14">
        <v>1001.09677419355</v>
      </c>
      <c r="L61" s="14">
        <v>277.161290322581</v>
      </c>
      <c r="M61" s="14">
        <v>371.58064516129</v>
      </c>
      <c r="N61" s="14">
        <v>415.774193548387</v>
      </c>
      <c r="O61" s="14">
        <v>60.0645161290323</v>
      </c>
      <c r="P61" s="14">
        <v>768.322580645161</v>
      </c>
      <c r="Q61" s="14">
        <v>111.129032258065</v>
      </c>
      <c r="R61" s="14">
        <v>26.9354838709677</v>
      </c>
      <c r="S61" s="14">
        <v>146.709677419355</v>
      </c>
      <c r="T61" s="14">
        <v>525.774193548387</v>
      </c>
      <c r="U61" s="14">
        <v>150.225806451613</v>
      </c>
      <c r="V61" s="14">
        <v>371.290322580645</v>
      </c>
      <c r="W61" s="14">
        <v>744.064516129032</v>
      </c>
      <c r="X61" s="14">
        <v>0</v>
      </c>
      <c r="Y61" s="14">
        <v>0</v>
      </c>
      <c r="Z61" s="14">
        <v>0</v>
      </c>
      <c r="AA61" s="14">
        <v>1025.70967741935</v>
      </c>
      <c r="AB61" s="14">
        <v>1009.06451612903</v>
      </c>
      <c r="AC61" s="14">
        <v>1006.67741935484</v>
      </c>
      <c r="AD61" s="14">
        <v>993.258064516129</v>
      </c>
      <c r="AE61" s="14">
        <v>998.161290322581</v>
      </c>
      <c r="AF61" s="14">
        <v>1028.67741935484</v>
      </c>
    </row>
    <row r="62" spans="1:32">
      <c r="A62" s="1">
        <v>1856</v>
      </c>
      <c r="B62" s="13">
        <v>39263</v>
      </c>
      <c r="C62" s="14">
        <v>150.1</v>
      </c>
      <c r="D62" s="14">
        <v>240.733333333333</v>
      </c>
      <c r="E62" s="14">
        <v>102.966666666667</v>
      </c>
      <c r="F62" s="14">
        <v>1531.36666666667</v>
      </c>
      <c r="G62" s="14">
        <v>148.666666666667</v>
      </c>
      <c r="H62" s="14">
        <v>325.6</v>
      </c>
      <c r="I62" s="14">
        <v>0</v>
      </c>
      <c r="J62" s="14">
        <v>385.666666666667</v>
      </c>
      <c r="K62" s="14">
        <v>898.433333333333</v>
      </c>
      <c r="L62" s="14">
        <v>282.866666666667</v>
      </c>
      <c r="M62" s="14">
        <v>409.933333333333</v>
      </c>
      <c r="N62" s="14">
        <v>3.23333333333333</v>
      </c>
      <c r="O62" s="14">
        <v>50.7333333333333</v>
      </c>
      <c r="P62" s="14">
        <v>780.033333333333</v>
      </c>
      <c r="Q62" s="14">
        <v>171.033333333333</v>
      </c>
      <c r="R62" s="14">
        <v>16.3</v>
      </c>
      <c r="S62" s="14">
        <v>108.8</v>
      </c>
      <c r="T62" s="14">
        <v>549.366666666667</v>
      </c>
      <c r="U62" s="14">
        <v>178.966666666667</v>
      </c>
      <c r="V62" s="14">
        <v>73.2666666666667</v>
      </c>
      <c r="W62" s="14">
        <v>0</v>
      </c>
      <c r="X62" s="14">
        <v>0</v>
      </c>
      <c r="Y62" s="14">
        <v>0</v>
      </c>
      <c r="Z62" s="14">
        <v>0</v>
      </c>
      <c r="AA62" s="14">
        <v>1014.76666666667</v>
      </c>
      <c r="AB62" s="14">
        <v>972.466666666667</v>
      </c>
      <c r="AC62" s="14">
        <v>991.066666666667</v>
      </c>
      <c r="AD62" s="14">
        <v>1036.93333333333</v>
      </c>
      <c r="AE62" s="14">
        <v>999.266666666667</v>
      </c>
      <c r="AF62" s="14">
        <v>1044.56666666667</v>
      </c>
    </row>
    <row r="63" spans="1:32">
      <c r="A63" s="1">
        <v>1887</v>
      </c>
      <c r="B63" s="13">
        <v>39294</v>
      </c>
      <c r="C63" s="14">
        <v>135.322580645161</v>
      </c>
      <c r="D63" s="14">
        <v>202.967741935484</v>
      </c>
      <c r="E63" s="14">
        <v>110.354838709677</v>
      </c>
      <c r="F63" s="14">
        <v>1473.06451612903</v>
      </c>
      <c r="G63" s="14">
        <v>103.387096774194</v>
      </c>
      <c r="H63" s="14">
        <v>286.709677419355</v>
      </c>
      <c r="I63" s="14">
        <v>0</v>
      </c>
      <c r="J63" s="14">
        <v>482.129032258065</v>
      </c>
      <c r="K63" s="14">
        <v>809.41935483871</v>
      </c>
      <c r="L63" s="14">
        <v>121.677419354839</v>
      </c>
      <c r="M63" s="14">
        <v>197.354838709677</v>
      </c>
      <c r="N63" s="14">
        <v>3.09677419354839</v>
      </c>
      <c r="O63" s="14">
        <v>110.58064516129</v>
      </c>
      <c r="P63" s="14">
        <v>1175.12903225806</v>
      </c>
      <c r="Q63" s="14">
        <v>802.838709677419</v>
      </c>
      <c r="R63" s="14">
        <v>0</v>
      </c>
      <c r="S63" s="14">
        <v>90.6774193548387</v>
      </c>
      <c r="T63" s="14">
        <v>629.064516129032</v>
      </c>
      <c r="U63" s="14">
        <v>203.290322580645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938.354838709677</v>
      </c>
      <c r="AB63" s="14">
        <v>1003.87096774194</v>
      </c>
      <c r="AC63" s="14">
        <v>978.709677419355</v>
      </c>
      <c r="AD63" s="14">
        <v>1012.16129032258</v>
      </c>
      <c r="AE63" s="14">
        <v>1009.64516129032</v>
      </c>
      <c r="AF63" s="14">
        <v>1006.61290322581</v>
      </c>
    </row>
    <row r="64" spans="1:32">
      <c r="A64" s="1">
        <v>1918</v>
      </c>
      <c r="B64" s="13">
        <v>39325</v>
      </c>
      <c r="C64" s="14">
        <v>62.8387096774194</v>
      </c>
      <c r="D64" s="14">
        <v>245.774193548387</v>
      </c>
      <c r="E64" s="14">
        <v>123.516129032258</v>
      </c>
      <c r="F64" s="14">
        <v>1470.35483870968</v>
      </c>
      <c r="G64" s="14">
        <v>182.967741935484</v>
      </c>
      <c r="H64" s="14">
        <v>250.129032258065</v>
      </c>
      <c r="I64" s="14">
        <v>0</v>
      </c>
      <c r="J64" s="14">
        <v>523.161290322581</v>
      </c>
      <c r="K64" s="14">
        <v>739.161290322581</v>
      </c>
      <c r="L64" s="14">
        <v>0</v>
      </c>
      <c r="M64" s="14">
        <v>0</v>
      </c>
      <c r="N64" s="14">
        <v>3.03225806451613</v>
      </c>
      <c r="O64" s="14">
        <v>162.967741935484</v>
      </c>
      <c r="P64" s="14">
        <v>1490.1935483871</v>
      </c>
      <c r="Q64" s="14">
        <v>1014.29032258065</v>
      </c>
      <c r="R64" s="14">
        <v>0</v>
      </c>
      <c r="S64" s="14">
        <v>93</v>
      </c>
      <c r="T64" s="14">
        <v>630.967741935484</v>
      </c>
      <c r="U64" s="14">
        <v>268.935483870968</v>
      </c>
      <c r="V64" s="14">
        <v>49.4838709677419</v>
      </c>
      <c r="W64" s="14">
        <v>138.129032258065</v>
      </c>
      <c r="X64" s="14">
        <v>0</v>
      </c>
      <c r="Y64" s="14">
        <v>0</v>
      </c>
      <c r="Z64" s="14">
        <v>0</v>
      </c>
      <c r="AA64" s="14">
        <v>369.903225806452</v>
      </c>
      <c r="AB64" s="14">
        <v>1023.54838709677</v>
      </c>
      <c r="AC64" s="14">
        <v>994.741935483871</v>
      </c>
      <c r="AD64" s="14">
        <v>1035.54838709677</v>
      </c>
      <c r="AE64" s="14">
        <v>1019.61290322581</v>
      </c>
      <c r="AF64" s="14">
        <v>1003.96774193548</v>
      </c>
    </row>
    <row r="65" spans="1:32">
      <c r="A65" s="1">
        <v>1948</v>
      </c>
      <c r="B65" s="13">
        <v>39355</v>
      </c>
      <c r="C65" s="14">
        <v>200.833333333333</v>
      </c>
      <c r="D65" s="14">
        <v>267.5</v>
      </c>
      <c r="E65" s="14">
        <v>135.233333333333</v>
      </c>
      <c r="F65" s="14">
        <v>1409.83333333333</v>
      </c>
      <c r="G65" s="14">
        <v>218.433333333333</v>
      </c>
      <c r="H65" s="14">
        <v>259.5</v>
      </c>
      <c r="I65" s="14">
        <v>0</v>
      </c>
      <c r="J65" s="14">
        <v>460.566666666667</v>
      </c>
      <c r="K65" s="14">
        <v>381.133333333333</v>
      </c>
      <c r="L65" s="14">
        <v>127.6</v>
      </c>
      <c r="M65" s="14">
        <v>0</v>
      </c>
      <c r="N65" s="14">
        <v>3.3</v>
      </c>
      <c r="O65" s="14">
        <v>169.066666666667</v>
      </c>
      <c r="P65" s="14">
        <v>1549.1</v>
      </c>
      <c r="Q65" s="14">
        <v>1047.96666666667</v>
      </c>
      <c r="R65" s="14">
        <v>0</v>
      </c>
      <c r="S65" s="14">
        <v>94.0333333333333</v>
      </c>
      <c r="T65" s="14">
        <v>657.1</v>
      </c>
      <c r="U65" s="14">
        <v>275.666666666667</v>
      </c>
      <c r="V65" s="14">
        <v>87</v>
      </c>
      <c r="W65" s="14">
        <v>52.9666666666667</v>
      </c>
      <c r="X65" s="14">
        <v>0</v>
      </c>
      <c r="Y65" s="14">
        <v>0</v>
      </c>
      <c r="Z65" s="14">
        <v>0</v>
      </c>
      <c r="AA65" s="14">
        <v>612.966666666667</v>
      </c>
      <c r="AB65" s="14">
        <v>873.933333333333</v>
      </c>
      <c r="AC65" s="14">
        <v>867.166666666667</v>
      </c>
      <c r="AD65" s="14">
        <v>1003.5</v>
      </c>
      <c r="AE65" s="14">
        <v>1028.23333333333</v>
      </c>
      <c r="AF65" s="14">
        <v>1028.86666666667</v>
      </c>
    </row>
    <row r="66" spans="1:32">
      <c r="A66" s="1">
        <v>1979</v>
      </c>
      <c r="B66" s="13">
        <v>39386</v>
      </c>
      <c r="C66" s="14">
        <v>199.258064516129</v>
      </c>
      <c r="D66" s="14">
        <v>385.193548387097</v>
      </c>
      <c r="E66" s="14">
        <v>102.516129032258</v>
      </c>
      <c r="F66" s="14">
        <v>1522</v>
      </c>
      <c r="G66" s="14">
        <v>220.516129032258</v>
      </c>
      <c r="H66" s="14">
        <v>261.806451612903</v>
      </c>
      <c r="I66" s="14">
        <v>0</v>
      </c>
      <c r="J66" s="14">
        <v>548.096774193548</v>
      </c>
      <c r="K66" s="14">
        <v>0</v>
      </c>
      <c r="L66" s="14">
        <v>291.903225806452</v>
      </c>
      <c r="M66" s="14">
        <v>0</v>
      </c>
      <c r="N66" s="14">
        <v>3.16129032258064</v>
      </c>
      <c r="O66" s="14">
        <v>170.58064516129</v>
      </c>
      <c r="P66" s="14">
        <v>1560.67741935484</v>
      </c>
      <c r="Q66" s="14">
        <v>1060.25806451613</v>
      </c>
      <c r="R66" s="14">
        <v>0</v>
      </c>
      <c r="S66" s="14">
        <v>97.6451612903226</v>
      </c>
      <c r="T66" s="14">
        <v>661.483870967742</v>
      </c>
      <c r="U66" s="14">
        <v>280.451612903226</v>
      </c>
      <c r="V66" s="14">
        <v>50.258064516129</v>
      </c>
      <c r="W66" s="14">
        <v>53.5161290322581</v>
      </c>
      <c r="X66" s="14">
        <v>0</v>
      </c>
      <c r="Y66" s="14">
        <v>0</v>
      </c>
      <c r="Z66" s="14">
        <v>0</v>
      </c>
      <c r="AA66" s="14">
        <v>520.774193548387</v>
      </c>
      <c r="AB66" s="14">
        <v>1025.90322580645</v>
      </c>
      <c r="AC66" s="14">
        <v>1024.93548387097</v>
      </c>
      <c r="AD66" s="14">
        <v>1021.8064516129</v>
      </c>
      <c r="AE66" s="14">
        <v>1035.48387096774</v>
      </c>
      <c r="AF66" s="14">
        <v>1019.38709677419</v>
      </c>
    </row>
    <row r="67" spans="1:32">
      <c r="A67" s="1">
        <v>2009</v>
      </c>
      <c r="B67" s="13">
        <v>39416</v>
      </c>
      <c r="C67" s="14">
        <v>169.266666666667</v>
      </c>
      <c r="D67" s="14">
        <v>305.733333333333</v>
      </c>
      <c r="E67" s="14">
        <v>106.866666666667</v>
      </c>
      <c r="F67" s="14">
        <v>1270.8</v>
      </c>
      <c r="G67" s="14">
        <v>211.5</v>
      </c>
      <c r="H67" s="14">
        <v>251.566666666667</v>
      </c>
      <c r="I67" s="14">
        <v>0</v>
      </c>
      <c r="J67" s="14">
        <v>213.266666666667</v>
      </c>
      <c r="K67" s="14">
        <v>609.8</v>
      </c>
      <c r="L67" s="14">
        <v>279.866666666667</v>
      </c>
      <c r="M67" s="14">
        <v>0</v>
      </c>
      <c r="N67" s="14">
        <v>3.23333333333333</v>
      </c>
      <c r="O67" s="14">
        <v>163.9</v>
      </c>
      <c r="P67" s="14">
        <v>1496.86666666667</v>
      </c>
      <c r="Q67" s="14">
        <v>1011.16666666667</v>
      </c>
      <c r="R67" s="14">
        <v>0</v>
      </c>
      <c r="S67" s="14">
        <v>96.9666666666667</v>
      </c>
      <c r="T67" s="14">
        <v>538.966666666667</v>
      </c>
      <c r="U67" s="14">
        <v>250.733333333333</v>
      </c>
      <c r="V67" s="14">
        <v>35.8</v>
      </c>
      <c r="W67" s="14">
        <v>51.5333333333333</v>
      </c>
      <c r="X67" s="14">
        <v>0</v>
      </c>
      <c r="Y67" s="14">
        <v>0</v>
      </c>
      <c r="Z67" s="14">
        <v>0</v>
      </c>
      <c r="AA67" s="14">
        <v>592.433333333333</v>
      </c>
      <c r="AB67" s="14">
        <v>1021.53333333333</v>
      </c>
      <c r="AC67" s="14">
        <v>1039.46666666667</v>
      </c>
      <c r="AD67" s="14">
        <v>671.066666666667</v>
      </c>
      <c r="AE67" s="14">
        <v>1034</v>
      </c>
      <c r="AF67" s="14">
        <v>1025.66666666667</v>
      </c>
    </row>
    <row r="68" spans="1:32">
      <c r="A68" s="1">
        <v>2040</v>
      </c>
      <c r="B68" s="13">
        <v>39447</v>
      </c>
      <c r="C68" s="14">
        <v>177.709677419355</v>
      </c>
      <c r="D68" s="14">
        <v>289.612903225806</v>
      </c>
      <c r="E68" s="14">
        <v>152.645161290323</v>
      </c>
      <c r="F68" s="14">
        <v>1145.64516129032</v>
      </c>
      <c r="G68" s="14">
        <v>252.774193548387</v>
      </c>
      <c r="H68" s="14">
        <v>263.741935483871</v>
      </c>
      <c r="I68" s="14">
        <v>0</v>
      </c>
      <c r="J68" s="14">
        <v>467.41935483871</v>
      </c>
      <c r="K68" s="14">
        <v>816.903225806452</v>
      </c>
      <c r="L68" s="14">
        <v>293.032258064516</v>
      </c>
      <c r="M68" s="14">
        <v>0</v>
      </c>
      <c r="N68" s="14">
        <v>3.41935483870968</v>
      </c>
      <c r="O68" s="14">
        <v>171.935483870968</v>
      </c>
      <c r="P68" s="14">
        <v>1567.67741935484</v>
      </c>
      <c r="Q68" s="14">
        <v>897.838709677419</v>
      </c>
      <c r="R68" s="14">
        <v>91.6451612903226</v>
      </c>
      <c r="S68" s="14">
        <v>98.3870967741936</v>
      </c>
      <c r="T68" s="14">
        <v>325.193548387097</v>
      </c>
      <c r="U68" s="14">
        <v>264.516129032258</v>
      </c>
      <c r="V68" s="14">
        <v>0</v>
      </c>
      <c r="W68" s="14">
        <v>208.741935483871</v>
      </c>
      <c r="X68" s="14">
        <v>0</v>
      </c>
      <c r="Y68" s="14">
        <v>0</v>
      </c>
      <c r="Z68" s="14">
        <v>0</v>
      </c>
      <c r="AA68" s="14">
        <v>895.516129032258</v>
      </c>
      <c r="AB68" s="14">
        <v>1025.58064516129</v>
      </c>
      <c r="AC68" s="14">
        <v>1057.87096774194</v>
      </c>
      <c r="AD68" s="14">
        <v>0</v>
      </c>
      <c r="AE68" s="14">
        <v>1021.1935483871</v>
      </c>
      <c r="AF68" s="14">
        <v>1022.58064516129</v>
      </c>
    </row>
    <row r="69" spans="1:32">
      <c r="A69" s="1">
        <v>2071</v>
      </c>
      <c r="B69" s="13">
        <v>39478</v>
      </c>
      <c r="C69" s="14">
        <v>141.709677419355</v>
      </c>
      <c r="D69" s="14">
        <v>289.483870967742</v>
      </c>
      <c r="E69" s="14">
        <v>204.451612903226</v>
      </c>
      <c r="F69" s="14">
        <v>987.032258064516</v>
      </c>
      <c r="G69" s="14">
        <v>276.612903225806</v>
      </c>
      <c r="H69" s="14">
        <v>255.451612903226</v>
      </c>
      <c r="I69" s="14">
        <v>0</v>
      </c>
      <c r="J69" s="14">
        <v>780.258064516129</v>
      </c>
      <c r="K69" s="14">
        <v>791.129032258065</v>
      </c>
      <c r="L69" s="14">
        <v>283.516129032258</v>
      </c>
      <c r="M69" s="14">
        <v>181.290322580645</v>
      </c>
      <c r="N69" s="14">
        <v>108.354838709677</v>
      </c>
      <c r="O69" s="14">
        <v>450.354838709677</v>
      </c>
      <c r="P69" s="14">
        <v>1014.45161290323</v>
      </c>
      <c r="Q69" s="14">
        <v>734.516129032258</v>
      </c>
      <c r="R69" s="14">
        <v>91.0322580645161</v>
      </c>
      <c r="S69" s="14">
        <v>95.2903225806452</v>
      </c>
      <c r="T69" s="14">
        <v>204.903225806452</v>
      </c>
      <c r="U69" s="14">
        <v>256.354838709677</v>
      </c>
      <c r="V69" s="14">
        <v>20.4516129032258</v>
      </c>
      <c r="W69" s="14">
        <v>212.387096774194</v>
      </c>
      <c r="X69" s="14">
        <v>0</v>
      </c>
      <c r="Y69" s="14">
        <v>0</v>
      </c>
      <c r="Z69" s="14">
        <v>8.09677419354839</v>
      </c>
      <c r="AA69" s="14">
        <v>713.516129032258</v>
      </c>
      <c r="AB69" s="14">
        <v>1000.77419354839</v>
      </c>
      <c r="AC69" s="14">
        <v>1022.58064516129</v>
      </c>
      <c r="AD69" s="14">
        <v>876.290322580645</v>
      </c>
      <c r="AE69" s="14">
        <v>968.322580645161</v>
      </c>
      <c r="AF69" s="14">
        <v>1008.35483870968</v>
      </c>
    </row>
    <row r="70" spans="1:32">
      <c r="A70" s="1">
        <v>2100</v>
      </c>
      <c r="B70" s="13">
        <v>39507</v>
      </c>
      <c r="C70" s="14">
        <v>188.275862068966</v>
      </c>
      <c r="D70" s="14">
        <v>276.034482758621</v>
      </c>
      <c r="E70" s="14">
        <v>120</v>
      </c>
      <c r="F70" s="14">
        <v>894.034482758621</v>
      </c>
      <c r="G70" s="14">
        <v>254</v>
      </c>
      <c r="H70" s="14">
        <v>270.137931034483</v>
      </c>
      <c r="I70" s="14">
        <v>0</v>
      </c>
      <c r="J70" s="14">
        <v>596.206896551724</v>
      </c>
      <c r="K70" s="14">
        <v>958.51724137931</v>
      </c>
      <c r="L70" s="14">
        <v>299.793103448276</v>
      </c>
      <c r="M70" s="14">
        <v>567.48275862069</v>
      </c>
      <c r="N70" s="14">
        <v>332.586206896552</v>
      </c>
      <c r="O70" s="14">
        <v>757.758620689655</v>
      </c>
      <c r="P70" s="14">
        <v>175.137931034483</v>
      </c>
      <c r="Q70" s="14">
        <v>394.896551724138</v>
      </c>
      <c r="R70" s="14">
        <v>101.344827586207</v>
      </c>
      <c r="S70" s="14">
        <v>100.931034482759</v>
      </c>
      <c r="T70" s="14">
        <v>578.551724137931</v>
      </c>
      <c r="U70" s="14">
        <v>270.862068965517</v>
      </c>
      <c r="V70" s="14">
        <v>50.448275862069</v>
      </c>
      <c r="W70" s="14">
        <v>53.4827586206897</v>
      </c>
      <c r="X70" s="14">
        <v>0</v>
      </c>
      <c r="Y70" s="14">
        <v>0</v>
      </c>
      <c r="Z70" s="14">
        <v>265.758620689655</v>
      </c>
      <c r="AA70" s="14">
        <v>866.137931034483</v>
      </c>
      <c r="AB70" s="14">
        <v>1058.68965517241</v>
      </c>
      <c r="AC70" s="14">
        <v>959.103448275862</v>
      </c>
      <c r="AD70" s="14">
        <v>1015.58620689655</v>
      </c>
      <c r="AE70" s="14">
        <v>1022.79310344828</v>
      </c>
      <c r="AF70" s="14">
        <v>1072.41379310345</v>
      </c>
    </row>
    <row r="71" spans="1:32">
      <c r="A71" s="1">
        <v>2131</v>
      </c>
      <c r="B71" s="13">
        <v>39538</v>
      </c>
      <c r="C71" s="14">
        <v>260.677419354839</v>
      </c>
      <c r="D71" s="14">
        <v>297.677419354839</v>
      </c>
      <c r="E71" s="14">
        <v>78.1290322580645</v>
      </c>
      <c r="F71" s="14">
        <v>826.967741935484</v>
      </c>
      <c r="G71" s="14">
        <v>0</v>
      </c>
      <c r="H71" s="14">
        <v>266.290322580645</v>
      </c>
      <c r="I71" s="14">
        <v>0</v>
      </c>
      <c r="J71" s="14">
        <v>491.290322580645</v>
      </c>
      <c r="K71" s="14">
        <v>723.838709677419</v>
      </c>
      <c r="L71" s="14">
        <v>342.548387096774</v>
      </c>
      <c r="M71" s="14">
        <v>363.322580645161</v>
      </c>
      <c r="N71" s="14">
        <v>290.193548387097</v>
      </c>
      <c r="O71" s="14">
        <v>57.2903225806452</v>
      </c>
      <c r="P71" s="14">
        <v>675.645161290323</v>
      </c>
      <c r="Q71" s="14">
        <v>104.354838709677</v>
      </c>
      <c r="R71" s="14">
        <v>81.741935483871</v>
      </c>
      <c r="S71" s="14">
        <v>93.3548387096774</v>
      </c>
      <c r="T71" s="14">
        <v>355.258064516129</v>
      </c>
      <c r="U71" s="14">
        <v>207.161290322581</v>
      </c>
      <c r="V71" s="14">
        <v>0</v>
      </c>
      <c r="W71" s="14">
        <v>0</v>
      </c>
      <c r="X71" s="14">
        <v>0</v>
      </c>
      <c r="Y71" s="14">
        <v>0</v>
      </c>
      <c r="Z71" s="14">
        <v>306.064516129032</v>
      </c>
      <c r="AA71" s="14">
        <v>943.516129032258</v>
      </c>
      <c r="AB71" s="14">
        <v>1051.8064516129</v>
      </c>
      <c r="AC71" s="14">
        <v>1062.16129032258</v>
      </c>
      <c r="AD71" s="14">
        <v>1057.16129032258</v>
      </c>
      <c r="AE71" s="14">
        <v>883.322580645161</v>
      </c>
      <c r="AF71" s="14">
        <v>1056.29032258065</v>
      </c>
    </row>
    <row r="72" spans="1:32">
      <c r="A72" s="1">
        <v>2161</v>
      </c>
      <c r="B72" s="13">
        <v>39568</v>
      </c>
      <c r="C72" s="14">
        <v>202.5</v>
      </c>
      <c r="D72" s="14">
        <v>328.266666666667</v>
      </c>
      <c r="E72" s="14">
        <v>99.7333333333333</v>
      </c>
      <c r="F72" s="14">
        <v>887.566666666667</v>
      </c>
      <c r="G72" s="14">
        <v>0</v>
      </c>
      <c r="H72" s="14">
        <v>280.9</v>
      </c>
      <c r="I72" s="14">
        <v>0</v>
      </c>
      <c r="J72" s="14">
        <v>480.466666666667</v>
      </c>
      <c r="K72" s="14">
        <v>702.166666666667</v>
      </c>
      <c r="L72" s="14">
        <v>51.3666666666667</v>
      </c>
      <c r="M72" s="14">
        <v>230.633333333333</v>
      </c>
      <c r="N72" s="14">
        <v>308</v>
      </c>
      <c r="O72" s="14">
        <v>74.2</v>
      </c>
      <c r="P72" s="14">
        <v>561.466666666667</v>
      </c>
      <c r="Q72" s="14">
        <v>134.5</v>
      </c>
      <c r="R72" s="14">
        <v>0</v>
      </c>
      <c r="S72" s="14">
        <v>96.4333333333333</v>
      </c>
      <c r="T72" s="14">
        <v>529.566666666667</v>
      </c>
      <c r="U72" s="14">
        <v>47.7333333333333</v>
      </c>
      <c r="V72" s="14">
        <v>0</v>
      </c>
      <c r="W72" s="14">
        <v>71.4333333333333</v>
      </c>
      <c r="X72" s="14">
        <v>0</v>
      </c>
      <c r="Y72" s="14">
        <v>0</v>
      </c>
      <c r="Z72" s="14">
        <v>476.633333333333</v>
      </c>
      <c r="AA72" s="14">
        <v>467.2</v>
      </c>
      <c r="AB72" s="14">
        <v>1040.83333333333</v>
      </c>
      <c r="AC72" s="14">
        <v>1042.93333333333</v>
      </c>
      <c r="AD72" s="14">
        <v>1058.76666666667</v>
      </c>
      <c r="AE72" s="14">
        <v>1076.93333333333</v>
      </c>
      <c r="AF72" s="14">
        <v>1041.26666666667</v>
      </c>
    </row>
    <row r="73" spans="1:32">
      <c r="A73" s="1">
        <v>2192</v>
      </c>
      <c r="B73" s="13">
        <v>39599</v>
      </c>
      <c r="C73" s="14">
        <v>237.677419354839</v>
      </c>
      <c r="D73" s="14">
        <v>324.548387096774</v>
      </c>
      <c r="E73" s="14">
        <v>165.290322580645</v>
      </c>
      <c r="F73" s="14">
        <v>834</v>
      </c>
      <c r="G73" s="14">
        <v>0</v>
      </c>
      <c r="H73" s="14">
        <v>363.935483870968</v>
      </c>
      <c r="I73" s="14">
        <v>0</v>
      </c>
      <c r="J73" s="14">
        <v>547.741935483871</v>
      </c>
      <c r="K73" s="14">
        <v>667.838709677419</v>
      </c>
      <c r="L73" s="14">
        <v>8.48387096774194</v>
      </c>
      <c r="M73" s="14">
        <v>202.129032258065</v>
      </c>
      <c r="N73" s="14">
        <v>325.41935483871</v>
      </c>
      <c r="O73" s="14">
        <v>79.5483870967742</v>
      </c>
      <c r="P73" s="14">
        <v>579.161290322581</v>
      </c>
      <c r="Q73" s="14">
        <v>161.354838709677</v>
      </c>
      <c r="R73" s="14">
        <v>27.741935483871</v>
      </c>
      <c r="S73" s="14">
        <v>69.1935483870968</v>
      </c>
      <c r="T73" s="14">
        <v>405.451612903226</v>
      </c>
      <c r="U73" s="14">
        <v>0</v>
      </c>
      <c r="V73" s="14">
        <v>0</v>
      </c>
      <c r="W73" s="14">
        <v>127.161290322581</v>
      </c>
      <c r="X73" s="14">
        <v>0</v>
      </c>
      <c r="Y73" s="14">
        <v>362.709677419355</v>
      </c>
      <c r="Z73" s="14">
        <v>705.709677419355</v>
      </c>
      <c r="AA73" s="14">
        <v>539.129032258065</v>
      </c>
      <c r="AB73" s="14">
        <v>1067.16129032258</v>
      </c>
      <c r="AC73" s="14">
        <v>1043.16129032258</v>
      </c>
      <c r="AD73" s="14">
        <v>1058.77419354839</v>
      </c>
      <c r="AE73" s="14">
        <v>630.838709677419</v>
      </c>
      <c r="AF73" s="14">
        <v>1085.41935483871</v>
      </c>
    </row>
    <row r="74" spans="1:32">
      <c r="A74" s="1">
        <v>2222</v>
      </c>
      <c r="B74" s="13">
        <v>39629</v>
      </c>
      <c r="C74" s="14">
        <v>233.933333333333</v>
      </c>
      <c r="D74" s="14">
        <v>320.366666666667</v>
      </c>
      <c r="E74" s="14">
        <v>184.333333333333</v>
      </c>
      <c r="F74" s="14">
        <v>908.366666666667</v>
      </c>
      <c r="G74" s="14">
        <v>188.466666666667</v>
      </c>
      <c r="H74" s="14">
        <v>436.166666666667</v>
      </c>
      <c r="I74" s="14">
        <v>0</v>
      </c>
      <c r="J74" s="14">
        <v>616.4</v>
      </c>
      <c r="K74" s="14">
        <v>752.3</v>
      </c>
      <c r="L74" s="14">
        <v>9.53333333333333</v>
      </c>
      <c r="M74" s="14">
        <v>97.0333333333333</v>
      </c>
      <c r="N74" s="14">
        <v>416.3</v>
      </c>
      <c r="O74" s="14">
        <v>31.6666666666667</v>
      </c>
      <c r="P74" s="14">
        <v>1128.6</v>
      </c>
      <c r="Q74" s="14">
        <v>423.433333333333</v>
      </c>
      <c r="R74" s="14">
        <v>0</v>
      </c>
      <c r="S74" s="14">
        <v>70.6666666666667</v>
      </c>
      <c r="T74" s="14">
        <v>296.933333333333</v>
      </c>
      <c r="U74" s="14">
        <v>0</v>
      </c>
      <c r="V74" s="14">
        <v>0</v>
      </c>
      <c r="W74" s="14">
        <v>55.2666666666667</v>
      </c>
      <c r="X74" s="14">
        <v>0</v>
      </c>
      <c r="Y74" s="14">
        <v>279.933333333333</v>
      </c>
      <c r="Z74" s="14">
        <v>816.966666666667</v>
      </c>
      <c r="AA74" s="14">
        <v>998.3</v>
      </c>
      <c r="AB74" s="14">
        <v>1038.93333333333</v>
      </c>
      <c r="AC74" s="14">
        <v>1036.13333333333</v>
      </c>
      <c r="AD74" s="14">
        <v>1184.1</v>
      </c>
      <c r="AE74" s="14">
        <v>0</v>
      </c>
      <c r="AF74" s="14">
        <v>113.666666666667</v>
      </c>
    </row>
    <row r="75" spans="1:32">
      <c r="A75" s="1">
        <v>2253</v>
      </c>
      <c r="B75" s="13">
        <v>39660</v>
      </c>
      <c r="C75" s="14">
        <v>259.193548387097</v>
      </c>
      <c r="D75" s="14">
        <v>310.032258064516</v>
      </c>
      <c r="E75" s="14">
        <v>204.161290322581</v>
      </c>
      <c r="F75" s="14">
        <v>720.064516129032</v>
      </c>
      <c r="G75" s="14">
        <v>723.677419354839</v>
      </c>
      <c r="H75" s="14">
        <v>361.41935483871</v>
      </c>
      <c r="I75" s="14">
        <v>0</v>
      </c>
      <c r="J75" s="14">
        <v>528.774193548387</v>
      </c>
      <c r="K75" s="14">
        <v>178.258064516129</v>
      </c>
      <c r="L75" s="14">
        <v>8</v>
      </c>
      <c r="M75" s="14">
        <v>209.967741935484</v>
      </c>
      <c r="N75" s="14">
        <v>373.387096774194</v>
      </c>
      <c r="O75" s="14">
        <v>64.9354838709677</v>
      </c>
      <c r="P75" s="14">
        <v>1500.03225806452</v>
      </c>
      <c r="Q75" s="14">
        <v>1056.51612903226</v>
      </c>
      <c r="R75" s="14">
        <v>0</v>
      </c>
      <c r="S75" s="14">
        <v>60.6129032258064</v>
      </c>
      <c r="T75" s="14">
        <v>105.354838709677</v>
      </c>
      <c r="U75" s="14">
        <v>0</v>
      </c>
      <c r="V75" s="14">
        <v>0</v>
      </c>
      <c r="W75" s="14">
        <v>104.741935483871</v>
      </c>
      <c r="X75" s="14">
        <v>0</v>
      </c>
      <c r="Y75" s="14">
        <v>259.096774193548</v>
      </c>
      <c r="Z75" s="14">
        <v>759.161290322581</v>
      </c>
      <c r="AA75" s="14">
        <v>878.516129032258</v>
      </c>
      <c r="AB75" s="14">
        <v>876.451612903226</v>
      </c>
      <c r="AC75" s="14">
        <v>1006.12903225806</v>
      </c>
      <c r="AD75" s="14">
        <v>881.096774193548</v>
      </c>
      <c r="AE75" s="14">
        <v>0</v>
      </c>
      <c r="AF75" s="14">
        <v>0</v>
      </c>
    </row>
    <row r="76" spans="1:32">
      <c r="A76" s="1">
        <v>2284</v>
      </c>
      <c r="B76" s="13">
        <v>39691</v>
      </c>
      <c r="C76" s="14">
        <v>173.193548387097</v>
      </c>
      <c r="D76" s="14">
        <v>293.032258064516</v>
      </c>
      <c r="E76" s="14">
        <v>92.3548387096774</v>
      </c>
      <c r="F76" s="14">
        <v>604.806451612903</v>
      </c>
      <c r="G76" s="14">
        <v>443.225806451613</v>
      </c>
      <c r="H76" s="14">
        <v>286.645161290323</v>
      </c>
      <c r="I76" s="14">
        <v>0</v>
      </c>
      <c r="J76" s="14">
        <v>347.935483870968</v>
      </c>
      <c r="K76" s="14">
        <v>0</v>
      </c>
      <c r="L76" s="14">
        <v>140.387096774194</v>
      </c>
      <c r="M76" s="14">
        <v>421.193548387097</v>
      </c>
      <c r="N76" s="14">
        <v>257.709677419355</v>
      </c>
      <c r="O76" s="14">
        <v>62.4193548387097</v>
      </c>
      <c r="P76" s="14">
        <v>951.451612903226</v>
      </c>
      <c r="Q76" s="14">
        <v>760.516129032258</v>
      </c>
      <c r="R76" s="14">
        <v>42.3225806451613</v>
      </c>
      <c r="S76" s="14">
        <v>55.8064516129032</v>
      </c>
      <c r="T76" s="14">
        <v>0</v>
      </c>
      <c r="U76" s="14">
        <v>19.3225806451613</v>
      </c>
      <c r="V76" s="14">
        <v>0</v>
      </c>
      <c r="W76" s="14">
        <v>84.258064516129</v>
      </c>
      <c r="X76" s="14">
        <v>0</v>
      </c>
      <c r="Y76" s="14">
        <v>773.903225806452</v>
      </c>
      <c r="Z76" s="14">
        <v>512.935483870968</v>
      </c>
      <c r="AA76" s="14">
        <v>537.774193548387</v>
      </c>
      <c r="AB76" s="14">
        <v>712.741935483871</v>
      </c>
      <c r="AC76" s="14">
        <v>1012.64516129032</v>
      </c>
      <c r="AD76" s="14">
        <v>0</v>
      </c>
      <c r="AE76" s="14">
        <v>0</v>
      </c>
      <c r="AF76" s="14">
        <v>0</v>
      </c>
    </row>
    <row r="77" spans="1:32">
      <c r="A77" s="1">
        <v>2314</v>
      </c>
      <c r="B77" s="13">
        <v>39721</v>
      </c>
      <c r="C77" s="14">
        <v>225.533333333333</v>
      </c>
      <c r="D77" s="14">
        <v>334.7</v>
      </c>
      <c r="E77" s="14">
        <v>109.633333333333</v>
      </c>
      <c r="F77" s="14">
        <v>717.166666666667</v>
      </c>
      <c r="G77" s="14">
        <v>348.033333333333</v>
      </c>
      <c r="H77" s="14">
        <v>297.9</v>
      </c>
      <c r="I77" s="14">
        <v>0</v>
      </c>
      <c r="J77" s="14">
        <v>208.4</v>
      </c>
      <c r="K77" s="14">
        <v>0</v>
      </c>
      <c r="L77" s="14">
        <v>454.666666666667</v>
      </c>
      <c r="M77" s="14">
        <v>876.633333333333</v>
      </c>
      <c r="N77" s="14">
        <v>169.4</v>
      </c>
      <c r="O77" s="14">
        <v>64.7</v>
      </c>
      <c r="P77" s="14">
        <v>359.466666666667</v>
      </c>
      <c r="Q77" s="14">
        <v>1005.53333333333</v>
      </c>
      <c r="R77" s="14">
        <v>76.6333333333333</v>
      </c>
      <c r="S77" s="14">
        <v>57.6333333333333</v>
      </c>
      <c r="T77" s="14">
        <v>256.466666666667</v>
      </c>
      <c r="U77" s="14">
        <v>27.3</v>
      </c>
      <c r="V77" s="14">
        <v>0</v>
      </c>
      <c r="W77" s="14">
        <v>60</v>
      </c>
      <c r="X77" s="14">
        <v>0</v>
      </c>
      <c r="Y77" s="14">
        <v>647.033333333333</v>
      </c>
      <c r="Z77" s="14">
        <v>601</v>
      </c>
      <c r="AA77" s="14">
        <v>511.5</v>
      </c>
      <c r="AB77" s="14">
        <v>476.166666666667</v>
      </c>
      <c r="AC77" s="14">
        <v>1016.83333333333</v>
      </c>
      <c r="AD77" s="14">
        <v>0</v>
      </c>
      <c r="AE77" s="14">
        <v>168.3</v>
      </c>
      <c r="AF77" s="14">
        <v>0</v>
      </c>
    </row>
    <row r="78" spans="1:32">
      <c r="A78" s="1">
        <v>2345</v>
      </c>
      <c r="B78" s="13">
        <v>39752</v>
      </c>
      <c r="C78" s="14">
        <v>189.806451612903</v>
      </c>
      <c r="D78" s="14">
        <v>326.870967741935</v>
      </c>
      <c r="E78" s="14">
        <v>0</v>
      </c>
      <c r="F78" s="14">
        <v>686.193548387097</v>
      </c>
      <c r="G78" s="14">
        <v>217.290322580645</v>
      </c>
      <c r="H78" s="14">
        <v>278.41935483871</v>
      </c>
      <c r="I78" s="14">
        <v>0</v>
      </c>
      <c r="J78" s="14">
        <v>177.548387096774</v>
      </c>
      <c r="K78" s="14">
        <v>214.967741935484</v>
      </c>
      <c r="L78" s="14">
        <v>408.258064516129</v>
      </c>
      <c r="M78" s="14">
        <v>792.935483870968</v>
      </c>
      <c r="N78" s="14">
        <v>140.354838709677</v>
      </c>
      <c r="O78" s="14">
        <v>61.258064516129</v>
      </c>
      <c r="P78" s="14">
        <v>1190.61290322581</v>
      </c>
      <c r="Q78" s="14">
        <v>1136.38709677419</v>
      </c>
      <c r="R78" s="14">
        <v>23.258064516129</v>
      </c>
      <c r="S78" s="14">
        <v>55.1612903225806</v>
      </c>
      <c r="T78" s="14">
        <v>404.193548387097</v>
      </c>
      <c r="U78" s="14">
        <v>29.9032258064516</v>
      </c>
      <c r="V78" s="14">
        <v>0</v>
      </c>
      <c r="W78" s="14">
        <v>90.8064516129032</v>
      </c>
      <c r="X78" s="14">
        <v>0</v>
      </c>
      <c r="Y78" s="14">
        <v>658.516129032258</v>
      </c>
      <c r="Z78" s="14">
        <v>703.258064516129</v>
      </c>
      <c r="AA78" s="14">
        <v>996</v>
      </c>
      <c r="AB78" s="14">
        <v>999.967741935484</v>
      </c>
      <c r="AC78" s="14">
        <v>1002.54838709677</v>
      </c>
      <c r="AD78" s="14">
        <v>0</v>
      </c>
      <c r="AE78" s="14">
        <v>1000.09677419355</v>
      </c>
      <c r="AF78" s="14">
        <v>0</v>
      </c>
    </row>
    <row r="79" spans="1:32">
      <c r="A79" s="1">
        <v>2375</v>
      </c>
      <c r="B79" s="13">
        <v>39782</v>
      </c>
      <c r="C79" s="14">
        <v>173.266666666667</v>
      </c>
      <c r="D79" s="14">
        <v>227.266666666667</v>
      </c>
      <c r="E79" s="14">
        <v>0</v>
      </c>
      <c r="F79" s="14">
        <v>707.566666666667</v>
      </c>
      <c r="G79" s="14">
        <v>270.3</v>
      </c>
      <c r="H79" s="14">
        <v>296.2</v>
      </c>
      <c r="I79" s="14">
        <v>0</v>
      </c>
      <c r="J79" s="14">
        <v>248.266666666667</v>
      </c>
      <c r="K79" s="14">
        <v>720.1</v>
      </c>
      <c r="L79" s="14">
        <v>401.266666666667</v>
      </c>
      <c r="M79" s="14">
        <v>819.133333333333</v>
      </c>
      <c r="N79" s="14">
        <v>100.166666666667</v>
      </c>
      <c r="O79" s="14">
        <v>62.4</v>
      </c>
      <c r="P79" s="14">
        <v>1180.03333333333</v>
      </c>
      <c r="Q79" s="14">
        <v>1088.33333333333</v>
      </c>
      <c r="R79" s="14">
        <v>0</v>
      </c>
      <c r="S79" s="14">
        <v>52.3</v>
      </c>
      <c r="T79" s="14">
        <v>428.566666666667</v>
      </c>
      <c r="U79" s="14">
        <v>30.4666666666667</v>
      </c>
      <c r="V79" s="14">
        <v>0</v>
      </c>
      <c r="W79" s="14">
        <v>87.5666666666667</v>
      </c>
      <c r="X79" s="14">
        <v>0</v>
      </c>
      <c r="Y79" s="14">
        <v>547.533333333333</v>
      </c>
      <c r="Z79" s="14">
        <v>693.133333333333</v>
      </c>
      <c r="AA79" s="14">
        <v>911.4</v>
      </c>
      <c r="AB79" s="14">
        <v>1012.43333333333</v>
      </c>
      <c r="AC79" s="14">
        <v>1017.06666666667</v>
      </c>
      <c r="AD79" s="14">
        <v>0</v>
      </c>
      <c r="AE79" s="14">
        <v>1011.7</v>
      </c>
      <c r="AF79" s="14">
        <v>0</v>
      </c>
    </row>
    <row r="80" spans="1:32">
      <c r="A80" s="1">
        <v>2406</v>
      </c>
      <c r="B80" s="13">
        <v>39813</v>
      </c>
      <c r="C80" s="14">
        <v>104.096774193548</v>
      </c>
      <c r="D80" s="14">
        <v>92.7096774193548</v>
      </c>
      <c r="E80" s="14">
        <v>0</v>
      </c>
      <c r="F80" s="14">
        <v>656.032258064516</v>
      </c>
      <c r="G80" s="14">
        <v>502.838709677419</v>
      </c>
      <c r="H80" s="14">
        <v>269.225806451613</v>
      </c>
      <c r="I80" s="14">
        <v>0</v>
      </c>
      <c r="J80" s="14">
        <v>203.935483870968</v>
      </c>
      <c r="K80" s="14">
        <v>474.096774193548</v>
      </c>
      <c r="L80" s="14">
        <v>103.935483870968</v>
      </c>
      <c r="M80" s="14">
        <v>293.258064516129</v>
      </c>
      <c r="N80" s="14">
        <v>153.838709677419</v>
      </c>
      <c r="O80" s="14">
        <v>78.9677419354839</v>
      </c>
      <c r="P80" s="14">
        <v>1171.87096774194</v>
      </c>
      <c r="Q80" s="14">
        <v>34.8709677419355</v>
      </c>
      <c r="R80" s="14">
        <v>0</v>
      </c>
      <c r="S80" s="14">
        <v>47.4516129032258</v>
      </c>
      <c r="T80" s="14">
        <v>674.967741935484</v>
      </c>
      <c r="U80" s="14">
        <v>7.48387096774194</v>
      </c>
      <c r="V80" s="14">
        <v>0</v>
      </c>
      <c r="W80" s="14">
        <v>12.258064516129</v>
      </c>
      <c r="X80" s="14">
        <v>0</v>
      </c>
      <c r="Y80" s="14">
        <v>617.677419354839</v>
      </c>
      <c r="Z80" s="14">
        <v>842.58064516129</v>
      </c>
      <c r="AA80" s="14">
        <v>829.225806451613</v>
      </c>
      <c r="AB80" s="14">
        <v>1014.25806451613</v>
      </c>
      <c r="AC80" s="14">
        <v>989.41935483871</v>
      </c>
      <c r="AD80" s="14">
        <v>79.4838709677419</v>
      </c>
      <c r="AE80" s="14">
        <v>1013.06451612903</v>
      </c>
      <c r="AF80" s="14">
        <v>0</v>
      </c>
    </row>
    <row r="81" spans="1:32">
      <c r="A81" s="1">
        <v>2437</v>
      </c>
      <c r="B81" s="13">
        <v>39844</v>
      </c>
      <c r="C81" s="14">
        <v>76.3870967741936</v>
      </c>
      <c r="D81" s="14">
        <v>152.161290322581</v>
      </c>
      <c r="E81" s="14">
        <v>0</v>
      </c>
      <c r="F81" s="14">
        <v>697.225806451613</v>
      </c>
      <c r="G81" s="14">
        <v>148.161290322581</v>
      </c>
      <c r="H81" s="14">
        <v>244.129032258065</v>
      </c>
      <c r="I81" s="14">
        <v>0</v>
      </c>
      <c r="J81" s="14">
        <v>187.870967741935</v>
      </c>
      <c r="K81" s="14">
        <v>542.516129032258</v>
      </c>
      <c r="L81" s="14">
        <v>237.290322580645</v>
      </c>
      <c r="M81" s="14">
        <v>848.258064516129</v>
      </c>
      <c r="N81" s="14">
        <v>154.161290322581</v>
      </c>
      <c r="O81" s="14">
        <v>83.7741935483871</v>
      </c>
      <c r="P81" s="14">
        <v>1056.16129032258</v>
      </c>
      <c r="Q81" s="14">
        <v>30.741935483871</v>
      </c>
      <c r="R81" s="14">
        <v>0</v>
      </c>
      <c r="S81" s="14">
        <v>49.741935483871</v>
      </c>
      <c r="T81" s="14">
        <v>727.806451612903</v>
      </c>
      <c r="U81" s="14">
        <v>27.9354838709677</v>
      </c>
      <c r="V81" s="14">
        <v>0</v>
      </c>
      <c r="W81" s="14">
        <v>27.9677419354839</v>
      </c>
      <c r="X81" s="14">
        <v>0</v>
      </c>
      <c r="Y81" s="14">
        <v>831.354838709677</v>
      </c>
      <c r="Z81" s="14">
        <v>957.709677419355</v>
      </c>
      <c r="AA81" s="14">
        <v>1004.93548387097</v>
      </c>
      <c r="AB81" s="14">
        <v>1003.22580645161</v>
      </c>
      <c r="AC81" s="14">
        <v>1015.25806451613</v>
      </c>
      <c r="AD81" s="14">
        <v>975.903225806452</v>
      </c>
      <c r="AE81" s="14">
        <v>985.806451612903</v>
      </c>
      <c r="AF81" s="14">
        <v>0</v>
      </c>
    </row>
    <row r="82" spans="1:32">
      <c r="A82" s="1">
        <v>2465</v>
      </c>
      <c r="B82" s="13">
        <v>39872</v>
      </c>
      <c r="C82" s="14">
        <v>85.5357142857143</v>
      </c>
      <c r="D82" s="14">
        <v>254.642857142857</v>
      </c>
      <c r="E82" s="14">
        <v>0</v>
      </c>
      <c r="F82" s="14">
        <v>678.892857142857</v>
      </c>
      <c r="G82" s="14">
        <v>234.071428571429</v>
      </c>
      <c r="H82" s="14">
        <v>234.964285714286</v>
      </c>
      <c r="I82" s="14">
        <v>0</v>
      </c>
      <c r="J82" s="14">
        <v>202.035714285714</v>
      </c>
      <c r="K82" s="14">
        <v>532.321428571429</v>
      </c>
      <c r="L82" s="14">
        <v>524.571428571429</v>
      </c>
      <c r="M82" s="14">
        <v>810.5</v>
      </c>
      <c r="N82" s="14">
        <v>147.892857142857</v>
      </c>
      <c r="O82" s="14">
        <v>103.428571428571</v>
      </c>
      <c r="P82" s="14">
        <v>806.392857142857</v>
      </c>
      <c r="Q82" s="14">
        <v>19.2857142857143</v>
      </c>
      <c r="R82" s="14">
        <v>0</v>
      </c>
      <c r="S82" s="14">
        <v>51.1785714285714</v>
      </c>
      <c r="T82" s="14">
        <v>643.607142857143</v>
      </c>
      <c r="U82" s="14">
        <v>27.5</v>
      </c>
      <c r="V82" s="14">
        <v>0</v>
      </c>
      <c r="W82" s="14">
        <v>45.1071428571429</v>
      </c>
      <c r="X82" s="14">
        <v>0</v>
      </c>
      <c r="Y82" s="14">
        <v>628.535714285714</v>
      </c>
      <c r="Z82" s="14">
        <v>722.785714285714</v>
      </c>
      <c r="AA82" s="14">
        <v>846.571428571429</v>
      </c>
      <c r="AB82" s="14">
        <v>837.178571428571</v>
      </c>
      <c r="AC82" s="14">
        <v>843</v>
      </c>
      <c r="AD82" s="14">
        <v>1002.28571428571</v>
      </c>
      <c r="AE82" s="14">
        <v>809.035714285714</v>
      </c>
      <c r="AF82" s="14">
        <v>0</v>
      </c>
    </row>
    <row r="83" spans="1:32">
      <c r="A83" s="1">
        <v>2496</v>
      </c>
      <c r="B83" s="13">
        <v>39903</v>
      </c>
      <c r="C83" s="14">
        <v>80.6129032258064</v>
      </c>
      <c r="D83" s="14">
        <v>239.451612903226</v>
      </c>
      <c r="E83" s="14">
        <v>0</v>
      </c>
      <c r="F83" s="14">
        <v>609.870967741935</v>
      </c>
      <c r="G83" s="14">
        <v>224.903225806452</v>
      </c>
      <c r="H83" s="14">
        <v>218.225806451613</v>
      </c>
      <c r="I83" s="14">
        <v>0</v>
      </c>
      <c r="J83" s="14">
        <v>191</v>
      </c>
      <c r="K83" s="14">
        <v>465.258064516129</v>
      </c>
      <c r="L83" s="14">
        <v>456.741935483871</v>
      </c>
      <c r="M83" s="14">
        <v>433.838709677419</v>
      </c>
      <c r="N83" s="14">
        <v>137.258064516129</v>
      </c>
      <c r="O83" s="14">
        <v>146.645161290323</v>
      </c>
      <c r="P83" s="14">
        <v>886.806451612903</v>
      </c>
      <c r="Q83" s="14">
        <v>105.903225806452</v>
      </c>
      <c r="R83" s="14">
        <v>0</v>
      </c>
      <c r="S83" s="14">
        <v>50</v>
      </c>
      <c r="T83" s="14">
        <v>599</v>
      </c>
      <c r="U83" s="14">
        <v>26.4193548387097</v>
      </c>
      <c r="V83" s="14">
        <v>0</v>
      </c>
      <c r="W83" s="14">
        <v>42.5806451612903</v>
      </c>
      <c r="X83" s="14">
        <v>0</v>
      </c>
      <c r="Y83" s="14">
        <v>417</v>
      </c>
      <c r="Z83" s="14">
        <v>726.354838709677</v>
      </c>
      <c r="AA83" s="14">
        <v>999.483870967742</v>
      </c>
      <c r="AB83" s="14">
        <v>738.612903225806</v>
      </c>
      <c r="AC83" s="14">
        <v>789.129032258065</v>
      </c>
      <c r="AD83" s="14">
        <v>127.935483870968</v>
      </c>
      <c r="AE83" s="14">
        <v>771.129032258065</v>
      </c>
      <c r="AF83" s="14">
        <v>0</v>
      </c>
    </row>
    <row r="84" spans="1:32">
      <c r="A84" s="1">
        <v>2526</v>
      </c>
      <c r="B84" s="13">
        <v>39933</v>
      </c>
      <c r="C84" s="14">
        <v>74.9333333333333</v>
      </c>
      <c r="D84" s="14">
        <v>218.1</v>
      </c>
      <c r="E84" s="14">
        <v>0</v>
      </c>
      <c r="F84" s="14">
        <v>611.133333333333</v>
      </c>
      <c r="G84" s="14">
        <v>280.733333333333</v>
      </c>
      <c r="H84" s="14">
        <v>205.3</v>
      </c>
      <c r="I84" s="14">
        <v>0</v>
      </c>
      <c r="J84" s="14">
        <v>179.466666666667</v>
      </c>
      <c r="K84" s="14">
        <v>286.033333333333</v>
      </c>
      <c r="L84" s="14">
        <v>237.333333333333</v>
      </c>
      <c r="M84" s="14">
        <v>228.433333333333</v>
      </c>
      <c r="N84" s="14">
        <v>128.966666666667</v>
      </c>
      <c r="O84" s="14">
        <v>138.2</v>
      </c>
      <c r="P84" s="14">
        <v>902.966666666667</v>
      </c>
      <c r="Q84" s="14">
        <v>565.8</v>
      </c>
      <c r="R84" s="14">
        <v>0</v>
      </c>
      <c r="S84" s="14">
        <v>46.9666666666667</v>
      </c>
      <c r="T84" s="14">
        <v>562.866666666667</v>
      </c>
      <c r="U84" s="14">
        <v>24.8333333333333</v>
      </c>
      <c r="V84" s="14">
        <v>0</v>
      </c>
      <c r="W84" s="14">
        <v>38.6</v>
      </c>
      <c r="X84" s="14">
        <v>0</v>
      </c>
      <c r="Y84" s="14">
        <v>358.466666666667</v>
      </c>
      <c r="Z84" s="14">
        <v>747.6</v>
      </c>
      <c r="AA84" s="14">
        <v>1009.93333333333</v>
      </c>
      <c r="AB84" s="14">
        <v>577</v>
      </c>
      <c r="AC84" s="14">
        <v>578.7</v>
      </c>
      <c r="AD84" s="14">
        <v>0</v>
      </c>
      <c r="AE84" s="14">
        <v>1006.53333333333</v>
      </c>
      <c r="AF84" s="14">
        <v>852.2</v>
      </c>
    </row>
    <row r="85" spans="1:32">
      <c r="A85" s="1">
        <v>2557</v>
      </c>
      <c r="B85" s="13">
        <v>39964</v>
      </c>
      <c r="C85" s="14">
        <v>54.1935483870968</v>
      </c>
      <c r="D85" s="14">
        <v>251.870967741935</v>
      </c>
      <c r="E85" s="14">
        <v>0</v>
      </c>
      <c r="F85" s="14">
        <v>676.290322580645</v>
      </c>
      <c r="G85" s="14">
        <v>297.129032258065</v>
      </c>
      <c r="H85" s="14">
        <v>233.161290322581</v>
      </c>
      <c r="I85" s="14">
        <v>0</v>
      </c>
      <c r="J85" s="14">
        <v>202.935483870968</v>
      </c>
      <c r="K85" s="14">
        <v>452.548387096774</v>
      </c>
      <c r="L85" s="14">
        <v>423.290322580645</v>
      </c>
      <c r="M85" s="14">
        <v>539.516129032258</v>
      </c>
      <c r="N85" s="14">
        <v>142.806451612903</v>
      </c>
      <c r="O85" s="14">
        <v>198.612903225806</v>
      </c>
      <c r="P85" s="14">
        <v>1255.87096774194</v>
      </c>
      <c r="Q85" s="14">
        <v>667.354838709677</v>
      </c>
      <c r="R85" s="14">
        <v>0</v>
      </c>
      <c r="S85" s="14">
        <v>49.1290322580645</v>
      </c>
      <c r="T85" s="14">
        <v>614.677419354839</v>
      </c>
      <c r="U85" s="14">
        <v>32.8709677419355</v>
      </c>
      <c r="V85" s="14">
        <v>0</v>
      </c>
      <c r="W85" s="14">
        <v>35.8387096774194</v>
      </c>
      <c r="X85" s="14">
        <v>0</v>
      </c>
      <c r="Y85" s="14">
        <v>579.58064516129</v>
      </c>
      <c r="Z85" s="14">
        <v>724.838709677419</v>
      </c>
      <c r="AA85" s="14">
        <v>980.096774193548</v>
      </c>
      <c r="AB85" s="14">
        <v>992.193548387097</v>
      </c>
      <c r="AC85" s="14">
        <v>1000.22580645161</v>
      </c>
      <c r="AD85" s="14">
        <v>0</v>
      </c>
      <c r="AE85" s="14">
        <v>993.58064516129</v>
      </c>
      <c r="AF85" s="14">
        <v>778.516129032258</v>
      </c>
    </row>
    <row r="86" spans="1:32">
      <c r="A86" s="1">
        <v>2587</v>
      </c>
      <c r="B86" s="13">
        <v>39994</v>
      </c>
      <c r="C86" s="14">
        <v>34.3333333333333</v>
      </c>
      <c r="D86" s="14">
        <v>263.2</v>
      </c>
      <c r="E86" s="14">
        <v>0</v>
      </c>
      <c r="F86" s="14">
        <v>648.633333333333</v>
      </c>
      <c r="G86" s="14">
        <v>305.966666666667</v>
      </c>
      <c r="H86" s="14">
        <v>239.733333333333</v>
      </c>
      <c r="I86" s="14">
        <v>0</v>
      </c>
      <c r="J86" s="14">
        <v>208.5</v>
      </c>
      <c r="K86" s="14">
        <v>529.366666666667</v>
      </c>
      <c r="L86" s="14">
        <v>467.5</v>
      </c>
      <c r="M86" s="14">
        <v>501</v>
      </c>
      <c r="N86" s="14">
        <v>151.233333333333</v>
      </c>
      <c r="O86" s="14">
        <v>201.2</v>
      </c>
      <c r="P86" s="14">
        <v>1064.33333333333</v>
      </c>
      <c r="Q86" s="14">
        <v>525.5</v>
      </c>
      <c r="R86" s="14">
        <v>0</v>
      </c>
      <c r="S86" s="14">
        <v>49.9</v>
      </c>
      <c r="T86" s="14">
        <v>698.566666666667</v>
      </c>
      <c r="U86" s="14">
        <v>60.2333333333333</v>
      </c>
      <c r="V86" s="14">
        <v>0</v>
      </c>
      <c r="W86" s="14">
        <v>0.366666666666667</v>
      </c>
      <c r="X86" s="14">
        <v>0</v>
      </c>
      <c r="Y86" s="14">
        <v>208.533333333333</v>
      </c>
      <c r="Z86" s="14">
        <v>586.7</v>
      </c>
      <c r="AA86" s="14">
        <v>943.666666666667</v>
      </c>
      <c r="AB86" s="14">
        <v>998.3</v>
      </c>
      <c r="AC86" s="14">
        <v>1055.63333333333</v>
      </c>
      <c r="AD86" s="14">
        <v>654.533333333333</v>
      </c>
      <c r="AE86" s="14">
        <v>1049.46666666667</v>
      </c>
      <c r="AF86" s="14">
        <v>0</v>
      </c>
    </row>
    <row r="87" spans="1:32">
      <c r="A87" s="1">
        <v>2618</v>
      </c>
      <c r="B87" s="13">
        <v>40025</v>
      </c>
      <c r="C87" s="14">
        <v>36.7741935483871</v>
      </c>
      <c r="D87" s="14">
        <v>283.064516129032</v>
      </c>
      <c r="E87" s="14">
        <v>0</v>
      </c>
      <c r="F87" s="14">
        <v>483.967741935484</v>
      </c>
      <c r="G87" s="14">
        <v>374.290322580645</v>
      </c>
      <c r="H87" s="14">
        <v>257.774193548387</v>
      </c>
      <c r="I87" s="14">
        <v>0</v>
      </c>
      <c r="J87" s="14">
        <v>223.483870967742</v>
      </c>
      <c r="K87" s="14">
        <v>230.645161290323</v>
      </c>
      <c r="L87" s="14">
        <v>423.258064516129</v>
      </c>
      <c r="M87" s="14">
        <v>509.677419354839</v>
      </c>
      <c r="N87" s="14">
        <v>163.032258064516</v>
      </c>
      <c r="O87" s="14">
        <v>225.451612903226</v>
      </c>
      <c r="P87" s="14">
        <v>0</v>
      </c>
      <c r="Q87" s="14">
        <v>518.741935483871</v>
      </c>
      <c r="R87" s="14">
        <v>0</v>
      </c>
      <c r="S87" s="14">
        <v>50.4516129032258</v>
      </c>
      <c r="T87" s="14">
        <v>749.935483870968</v>
      </c>
      <c r="U87" s="14">
        <v>64.5806451612903</v>
      </c>
      <c r="V87" s="14">
        <v>0</v>
      </c>
      <c r="W87" s="14">
        <v>4.87096774193548</v>
      </c>
      <c r="X87" s="14">
        <v>0</v>
      </c>
      <c r="Y87" s="14">
        <v>0</v>
      </c>
      <c r="Z87" s="14">
        <v>408.387096774194</v>
      </c>
      <c r="AA87" s="14">
        <v>1119.51612903226</v>
      </c>
      <c r="AB87" s="14">
        <v>1128.90322580645</v>
      </c>
      <c r="AC87" s="14">
        <v>866.709677419355</v>
      </c>
      <c r="AD87" s="14">
        <v>1128.48387096774</v>
      </c>
      <c r="AE87" s="14">
        <v>1119.51612903226</v>
      </c>
      <c r="AF87" s="14">
        <v>0</v>
      </c>
    </row>
    <row r="88" spans="1:32">
      <c r="A88" s="1">
        <v>2649</v>
      </c>
      <c r="B88" s="13">
        <v>40056</v>
      </c>
      <c r="C88" s="14">
        <v>39.8709677419355</v>
      </c>
      <c r="D88" s="14">
        <v>307.41935483871</v>
      </c>
      <c r="E88" s="14">
        <v>0</v>
      </c>
      <c r="F88" s="14">
        <v>384.838709677419</v>
      </c>
      <c r="G88" s="14">
        <v>347.161290322581</v>
      </c>
      <c r="H88" s="14">
        <v>281.387096774194</v>
      </c>
      <c r="I88" s="14">
        <v>0</v>
      </c>
      <c r="J88" s="14">
        <v>243.387096774194</v>
      </c>
      <c r="K88" s="14">
        <v>0</v>
      </c>
      <c r="L88" s="14">
        <v>549.58064516129</v>
      </c>
      <c r="M88" s="14">
        <v>556.064516129032</v>
      </c>
      <c r="N88" s="14">
        <v>177.838709677419</v>
      </c>
      <c r="O88" s="14">
        <v>244.838709677419</v>
      </c>
      <c r="P88" s="14">
        <v>0</v>
      </c>
      <c r="Q88" s="14">
        <v>565.322580645161</v>
      </c>
      <c r="R88" s="14">
        <v>0</v>
      </c>
      <c r="S88" s="14">
        <v>52.5161290322581</v>
      </c>
      <c r="T88" s="14">
        <v>821.870967741935</v>
      </c>
      <c r="U88" s="14">
        <v>42.1612903225806</v>
      </c>
      <c r="V88" s="14">
        <v>0</v>
      </c>
      <c r="W88" s="14">
        <v>18.2903225806452</v>
      </c>
      <c r="X88" s="14">
        <v>0</v>
      </c>
      <c r="Y88" s="14">
        <v>0</v>
      </c>
      <c r="Z88" s="14">
        <v>704.741935483871</v>
      </c>
      <c r="AA88" s="14">
        <v>991.838709677419</v>
      </c>
      <c r="AB88" s="14">
        <v>764.290322580645</v>
      </c>
      <c r="AC88" s="14">
        <v>874</v>
      </c>
      <c r="AD88" s="14">
        <v>990.193548387097</v>
      </c>
      <c r="AE88" s="14">
        <v>990.677419354839</v>
      </c>
      <c r="AF88" s="14">
        <v>0</v>
      </c>
    </row>
    <row r="89" spans="1:32">
      <c r="A89" s="1">
        <v>2679</v>
      </c>
      <c r="B89" s="13">
        <v>40086</v>
      </c>
      <c r="C89" s="14">
        <v>0.666666666666667</v>
      </c>
      <c r="D89" s="14">
        <v>140.466666666667</v>
      </c>
      <c r="E89" s="14">
        <v>0</v>
      </c>
      <c r="F89" s="14">
        <v>368.1</v>
      </c>
      <c r="G89" s="14">
        <v>220.8</v>
      </c>
      <c r="H89" s="14">
        <v>306.5</v>
      </c>
      <c r="I89" s="14">
        <v>0</v>
      </c>
      <c r="J89" s="14">
        <v>254.333333333333</v>
      </c>
      <c r="K89" s="14">
        <v>0</v>
      </c>
      <c r="L89" s="14">
        <v>592.566666666667</v>
      </c>
      <c r="M89" s="14">
        <v>606.233333333333</v>
      </c>
      <c r="N89" s="14">
        <v>194.366666666667</v>
      </c>
      <c r="O89" s="14">
        <v>266.133333333333</v>
      </c>
      <c r="P89" s="14">
        <v>0</v>
      </c>
      <c r="Q89" s="14">
        <v>615.333333333333</v>
      </c>
      <c r="R89" s="14">
        <v>0</v>
      </c>
      <c r="S89" s="14">
        <v>76.6666666666667</v>
      </c>
      <c r="T89" s="14">
        <v>870.3</v>
      </c>
      <c r="U89" s="14">
        <v>30.4666666666667</v>
      </c>
      <c r="V89" s="14">
        <v>0</v>
      </c>
      <c r="W89" s="14">
        <v>0</v>
      </c>
      <c r="X89" s="14">
        <v>0</v>
      </c>
      <c r="Y89" s="14">
        <v>0</v>
      </c>
      <c r="Z89" s="14">
        <v>961.7</v>
      </c>
      <c r="AA89" s="14">
        <v>995.566666666667</v>
      </c>
      <c r="AB89" s="14">
        <v>969.5</v>
      </c>
      <c r="AC89" s="14">
        <v>1000.4</v>
      </c>
      <c r="AD89" s="14">
        <v>742.933333333333</v>
      </c>
      <c r="AE89" s="14">
        <v>168.666666666667</v>
      </c>
      <c r="AF89" s="14">
        <v>0</v>
      </c>
    </row>
    <row r="90" spans="1:32">
      <c r="A90" s="1">
        <v>2710</v>
      </c>
      <c r="B90" s="13">
        <v>40117</v>
      </c>
      <c r="C90" s="14">
        <v>0</v>
      </c>
      <c r="D90" s="14">
        <v>332.806451612903</v>
      </c>
      <c r="E90" s="14">
        <v>0</v>
      </c>
      <c r="F90" s="14">
        <v>214.483870967742</v>
      </c>
      <c r="G90" s="14">
        <v>4.12903225806452</v>
      </c>
      <c r="H90" s="14">
        <v>304.41935483871</v>
      </c>
      <c r="I90" s="14">
        <v>0</v>
      </c>
      <c r="J90" s="14">
        <v>216.612903225806</v>
      </c>
      <c r="K90" s="14">
        <v>0</v>
      </c>
      <c r="L90" s="14">
        <v>388.258064516129</v>
      </c>
      <c r="M90" s="14">
        <v>590.548387096774</v>
      </c>
      <c r="N90" s="14">
        <v>193</v>
      </c>
      <c r="O90" s="14">
        <v>264.516129032258</v>
      </c>
      <c r="P90" s="14">
        <v>0</v>
      </c>
      <c r="Q90" s="14">
        <v>611.354838709677</v>
      </c>
      <c r="R90" s="14">
        <v>0</v>
      </c>
      <c r="S90" s="14">
        <v>310</v>
      </c>
      <c r="T90" s="14">
        <v>859.41935483871</v>
      </c>
      <c r="U90" s="14">
        <v>383.709677419355</v>
      </c>
      <c r="V90" s="14">
        <v>0</v>
      </c>
      <c r="W90" s="14">
        <v>0</v>
      </c>
      <c r="X90" s="14">
        <v>0</v>
      </c>
      <c r="Y90" s="14">
        <v>0</v>
      </c>
      <c r="Z90" s="14">
        <v>976.967741935484</v>
      </c>
      <c r="AA90" s="14">
        <v>762.967741935484</v>
      </c>
      <c r="AB90" s="14">
        <v>975.709677419355</v>
      </c>
      <c r="AC90" s="14">
        <v>579.516129032258</v>
      </c>
      <c r="AD90" s="14">
        <v>0</v>
      </c>
      <c r="AE90" s="14">
        <v>0</v>
      </c>
      <c r="AF90" s="14">
        <v>0</v>
      </c>
    </row>
    <row r="91" spans="1:32">
      <c r="A91" s="1">
        <v>2740</v>
      </c>
      <c r="B91" s="13">
        <v>40147</v>
      </c>
      <c r="C91" s="14">
        <v>0</v>
      </c>
      <c r="D91" s="14">
        <v>430.466666666667</v>
      </c>
      <c r="E91" s="14">
        <v>0</v>
      </c>
      <c r="F91" s="14">
        <v>85.6</v>
      </c>
      <c r="G91" s="14">
        <v>0</v>
      </c>
      <c r="H91" s="14">
        <v>305.033333333333</v>
      </c>
      <c r="I91" s="14">
        <v>0</v>
      </c>
      <c r="J91" s="14">
        <v>206.466666666667</v>
      </c>
      <c r="K91" s="14">
        <v>0</v>
      </c>
      <c r="L91" s="14">
        <v>389.2</v>
      </c>
      <c r="M91" s="14">
        <v>591.933333333333</v>
      </c>
      <c r="N91" s="14">
        <v>193.466666666667</v>
      </c>
      <c r="O91" s="14">
        <v>105.333333333333</v>
      </c>
      <c r="P91" s="14">
        <v>0</v>
      </c>
      <c r="Q91" s="14">
        <v>612.3</v>
      </c>
      <c r="R91" s="14">
        <v>0</v>
      </c>
      <c r="S91" s="14">
        <v>354.433333333333</v>
      </c>
      <c r="T91" s="14">
        <v>861.466666666667</v>
      </c>
      <c r="U91" s="14">
        <v>383.566666666667</v>
      </c>
      <c r="V91" s="14">
        <v>0</v>
      </c>
      <c r="W91" s="14">
        <v>0</v>
      </c>
      <c r="X91" s="14">
        <v>0</v>
      </c>
      <c r="Y91" s="14">
        <v>0</v>
      </c>
      <c r="Z91" s="14">
        <v>225.766666666667</v>
      </c>
      <c r="AA91" s="14">
        <v>890.1</v>
      </c>
      <c r="AB91" s="14">
        <v>889.166666666667</v>
      </c>
      <c r="AC91" s="14">
        <v>988.566666666667</v>
      </c>
      <c r="AD91" s="14">
        <v>0</v>
      </c>
      <c r="AE91" s="14">
        <v>0</v>
      </c>
      <c r="AF91" s="14">
        <v>0</v>
      </c>
    </row>
    <row r="92" spans="1:32">
      <c r="A92" s="1">
        <v>2771</v>
      </c>
      <c r="B92" s="13">
        <v>40178</v>
      </c>
      <c r="C92" s="14">
        <v>0</v>
      </c>
      <c r="D92" s="14">
        <v>325.451612903226</v>
      </c>
      <c r="E92" s="14">
        <v>0</v>
      </c>
      <c r="F92" s="14">
        <v>0</v>
      </c>
      <c r="G92" s="14">
        <v>0</v>
      </c>
      <c r="H92" s="14">
        <v>296.967741935484</v>
      </c>
      <c r="I92" s="14">
        <v>0</v>
      </c>
      <c r="J92" s="14">
        <v>88.4516129032258</v>
      </c>
      <c r="K92" s="14">
        <v>0</v>
      </c>
      <c r="L92" s="14">
        <v>327</v>
      </c>
      <c r="M92" s="14">
        <v>576.064516129032</v>
      </c>
      <c r="N92" s="14">
        <v>188.258064516129</v>
      </c>
      <c r="O92" s="14">
        <v>328.612903225806</v>
      </c>
      <c r="P92" s="14">
        <v>0</v>
      </c>
      <c r="Q92" s="14">
        <v>591.677419354839</v>
      </c>
      <c r="R92" s="14">
        <v>0</v>
      </c>
      <c r="S92" s="14">
        <v>348.774193548387</v>
      </c>
      <c r="T92" s="14">
        <v>838.322580645161</v>
      </c>
      <c r="U92" s="14">
        <v>374.290322580645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584.161290322581</v>
      </c>
      <c r="AB92" s="14">
        <v>580.741935483871</v>
      </c>
      <c r="AC92" s="14">
        <v>625.935483870968</v>
      </c>
      <c r="AD92" s="14">
        <v>0</v>
      </c>
      <c r="AE92" s="14">
        <v>0</v>
      </c>
      <c r="AF92" s="14">
        <v>0</v>
      </c>
    </row>
    <row r="93" spans="1:32">
      <c r="A93" s="1">
        <v>2802</v>
      </c>
      <c r="B93" s="13">
        <v>40209</v>
      </c>
      <c r="C93" s="14">
        <v>0</v>
      </c>
      <c r="D93" s="14">
        <v>121.709677419355</v>
      </c>
      <c r="E93" s="14">
        <v>0</v>
      </c>
      <c r="F93" s="14">
        <v>0</v>
      </c>
      <c r="G93" s="14">
        <v>0</v>
      </c>
      <c r="H93" s="14">
        <v>307.838709677419</v>
      </c>
      <c r="I93" s="14">
        <v>0</v>
      </c>
      <c r="J93" s="14">
        <v>64.7741935483871</v>
      </c>
      <c r="K93" s="14">
        <v>0</v>
      </c>
      <c r="L93" s="14">
        <v>263.870967741935</v>
      </c>
      <c r="M93" s="14">
        <v>597.41935483871</v>
      </c>
      <c r="N93" s="14">
        <v>195.290322580645</v>
      </c>
      <c r="O93" s="14">
        <v>335.612903225806</v>
      </c>
      <c r="P93" s="14">
        <v>0</v>
      </c>
      <c r="Q93" s="14">
        <v>608.612903225806</v>
      </c>
      <c r="R93" s="14">
        <v>0</v>
      </c>
      <c r="S93" s="14">
        <v>354.258064516129</v>
      </c>
      <c r="T93" s="14">
        <v>873.612903225806</v>
      </c>
      <c r="U93" s="14">
        <v>388.774193548387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537.193548387097</v>
      </c>
      <c r="AB93" s="14">
        <v>540.129032258065</v>
      </c>
      <c r="AC93" s="14">
        <v>534.032258064516</v>
      </c>
      <c r="AD93" s="14">
        <v>0</v>
      </c>
      <c r="AE93" s="14">
        <v>0</v>
      </c>
      <c r="AF93" s="14">
        <v>0</v>
      </c>
    </row>
    <row r="94" spans="1:32">
      <c r="A94" s="1">
        <v>2830</v>
      </c>
      <c r="B94" s="13">
        <v>40237</v>
      </c>
      <c r="C94" s="14">
        <v>66.6785714285714</v>
      </c>
      <c r="D94" s="14">
        <v>372.285714285714</v>
      </c>
      <c r="E94" s="14">
        <v>0</v>
      </c>
      <c r="F94" s="14">
        <v>0</v>
      </c>
      <c r="G94" s="14">
        <v>0</v>
      </c>
      <c r="H94" s="14">
        <v>333.25</v>
      </c>
      <c r="I94" s="14">
        <v>0</v>
      </c>
      <c r="J94" s="14">
        <v>50.6071428571429</v>
      </c>
      <c r="K94" s="14">
        <v>0</v>
      </c>
      <c r="L94" s="14">
        <v>285.892857142857</v>
      </c>
      <c r="M94" s="14">
        <v>391.678571428571</v>
      </c>
      <c r="N94" s="14">
        <v>211.678571428571</v>
      </c>
      <c r="O94" s="14">
        <v>361.428571428571</v>
      </c>
      <c r="P94" s="14">
        <v>0</v>
      </c>
      <c r="Q94" s="14">
        <v>506.178571428571</v>
      </c>
      <c r="R94" s="14">
        <v>0</v>
      </c>
      <c r="S94" s="14">
        <v>351.75</v>
      </c>
      <c r="T94" s="14">
        <v>734.892857142857</v>
      </c>
      <c r="U94" s="14">
        <v>416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43.25</v>
      </c>
      <c r="AB94" s="14">
        <v>43.3571428571429</v>
      </c>
      <c r="AC94" s="14">
        <v>43.4285714285714</v>
      </c>
      <c r="AD94" s="14">
        <v>0</v>
      </c>
      <c r="AE94" s="14">
        <v>0</v>
      </c>
      <c r="AF94" s="1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4"/>
  <sheetViews>
    <sheetView workbookViewId="0">
      <pane xSplit="2" ySplit="1" topLeftCell="Q2" activePane="bottomRight" state="frozen"/>
      <selection/>
      <selection pane="topRight"/>
      <selection pane="bottomLeft"/>
      <selection pane="bottomRight" activeCell="C1" sqref="C1:AF1"/>
    </sheetView>
  </sheetViews>
  <sheetFormatPr defaultColWidth="9" defaultRowHeight="14.25"/>
  <cols>
    <col min="1" max="1" width="17.8166666666667" customWidth="1"/>
    <col min="2" max="2" width="10.45" customWidth="1"/>
    <col min="3" max="3" width="17.45" customWidth="1"/>
    <col min="4" max="6" width="13.45" customWidth="1"/>
    <col min="7" max="7" width="14.45" customWidth="1"/>
    <col min="8" max="8" width="9.81666666666667" customWidth="1"/>
    <col min="9" max="9" width="20.8166666666667" customWidth="1"/>
    <col min="10" max="12" width="16.8166666666667" customWidth="1"/>
    <col min="13" max="13" width="17.8166666666667" customWidth="1"/>
    <col min="14" max="14" width="9.725" customWidth="1"/>
  </cols>
  <sheetData>
    <row r="1" spans="1:32">
      <c r="A1" s="1" t="s">
        <v>33</v>
      </c>
      <c r="B1" s="11" t="s">
        <v>34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</row>
    <row r="2" spans="1:24">
      <c r="A2" s="1">
        <v>30</v>
      </c>
      <c r="B2" s="11">
        <v>37437</v>
      </c>
      <c r="C2">
        <v>0</v>
      </c>
      <c r="D2">
        <v>0.942084442435648</v>
      </c>
      <c r="E2">
        <v>0.678576057499705</v>
      </c>
      <c r="F2">
        <v>0.9077392179468</v>
      </c>
      <c r="G2">
        <v>0.906634150374075</v>
      </c>
      <c r="H2">
        <v>0</v>
      </c>
      <c r="I2">
        <v>0</v>
      </c>
      <c r="J2">
        <v>0.529171170644775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s="1">
        <v>61</v>
      </c>
      <c r="B3" s="11">
        <v>37468</v>
      </c>
      <c r="C3">
        <v>0</v>
      </c>
      <c r="D3">
        <v>0.86792085946235</v>
      </c>
      <c r="E3">
        <v>0.652862246219128</v>
      </c>
      <c r="F3">
        <v>0.910950710266224</v>
      </c>
      <c r="G3">
        <v>0.879522632111083</v>
      </c>
      <c r="H3">
        <v>0</v>
      </c>
      <c r="I3">
        <v>0</v>
      </c>
      <c r="J3">
        <v>0.668616877032822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s="1">
        <v>92</v>
      </c>
      <c r="B4" s="11">
        <v>37499</v>
      </c>
      <c r="C4">
        <v>0.925535688236703</v>
      </c>
      <c r="D4">
        <v>0.793999141262344</v>
      </c>
      <c r="E4">
        <v>0.65537123646954</v>
      </c>
      <c r="F4">
        <v>0.895983300640497</v>
      </c>
      <c r="G4">
        <v>0.926969315778587</v>
      </c>
      <c r="H4">
        <v>0</v>
      </c>
      <c r="I4">
        <v>0</v>
      </c>
      <c r="J4">
        <v>0.614046996211438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s="1">
        <v>122</v>
      </c>
      <c r="B5" s="11">
        <v>37529</v>
      </c>
      <c r="C5">
        <v>0.835870872908531</v>
      </c>
      <c r="D5">
        <v>0.750409015546426</v>
      </c>
      <c r="E5">
        <v>0.803074492647952</v>
      </c>
      <c r="F5">
        <v>0.890487363712756</v>
      </c>
      <c r="G5">
        <v>0.971694664579261</v>
      </c>
      <c r="H5">
        <v>0</v>
      </c>
      <c r="I5">
        <v>0</v>
      </c>
      <c r="J5">
        <v>0.322632706685854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>
        <v>153</v>
      </c>
      <c r="B6" s="11">
        <v>37560</v>
      </c>
      <c r="C6">
        <v>0.720427043182298</v>
      </c>
      <c r="D6">
        <v>0.777106329916698</v>
      </c>
      <c r="E6">
        <v>0.504122641882763</v>
      </c>
      <c r="F6">
        <v>0.865293257635363</v>
      </c>
      <c r="G6">
        <v>0.707347881477116</v>
      </c>
      <c r="H6">
        <v>0</v>
      </c>
      <c r="I6">
        <v>0</v>
      </c>
      <c r="J6">
        <v>0.394494353752571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>
        <v>183</v>
      </c>
      <c r="B7" s="11">
        <v>37590</v>
      </c>
      <c r="C7">
        <v>0.696132854773787</v>
      </c>
      <c r="D7">
        <v>0.897166296061524</v>
      </c>
      <c r="E7">
        <v>0.222940855691457</v>
      </c>
      <c r="F7">
        <v>0.797021315388539</v>
      </c>
      <c r="G7">
        <v>0.702824530857032</v>
      </c>
      <c r="H7">
        <v>0</v>
      </c>
      <c r="I7">
        <v>0</v>
      </c>
      <c r="J7">
        <v>0.48442769875409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>
        <v>214</v>
      </c>
      <c r="B8" s="11">
        <v>37621</v>
      </c>
      <c r="C8">
        <v>0.582517579745117</v>
      </c>
      <c r="D8">
        <v>0.659568778204914</v>
      </c>
      <c r="E8">
        <v>0.485265279470751</v>
      </c>
      <c r="F8">
        <v>0.820734862955039</v>
      </c>
      <c r="G8">
        <v>0.98221177836769</v>
      </c>
      <c r="H8">
        <v>0</v>
      </c>
      <c r="I8">
        <v>0</v>
      </c>
      <c r="J8">
        <v>0.455163679647086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>
        <v>245</v>
      </c>
      <c r="B9" s="11">
        <v>37652</v>
      </c>
      <c r="C9">
        <v>0.308089577793905</v>
      </c>
      <c r="D9">
        <v>0.400798677120713</v>
      </c>
      <c r="E9">
        <v>0.323885533791569</v>
      </c>
      <c r="F9">
        <v>0.976874851390016</v>
      </c>
      <c r="G9">
        <v>0.96631693252015</v>
      </c>
      <c r="H9">
        <v>0</v>
      </c>
      <c r="I9">
        <v>0</v>
      </c>
      <c r="J9">
        <v>0.4177523927138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s="1">
        <v>273</v>
      </c>
      <c r="B10" s="11">
        <v>37680</v>
      </c>
      <c r="C10">
        <v>0.360588862755926</v>
      </c>
      <c r="D10">
        <v>0.400007145137845</v>
      </c>
      <c r="E10">
        <v>0.670089569674515</v>
      </c>
      <c r="F10">
        <v>0.939259900268867</v>
      </c>
      <c r="G10">
        <v>0.905500065532173</v>
      </c>
      <c r="H10">
        <v>0</v>
      </c>
      <c r="I10">
        <v>0</v>
      </c>
      <c r="J10">
        <v>0.427586439155815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>
        <v>304</v>
      </c>
      <c r="B11" s="11">
        <v>37711</v>
      </c>
      <c r="C11">
        <v>0.521079114933788</v>
      </c>
      <c r="D11">
        <v>0.504186829739976</v>
      </c>
      <c r="E11">
        <v>0.930332806506003</v>
      </c>
      <c r="F11">
        <v>0.760763630322108</v>
      </c>
      <c r="G11">
        <v>0.941867157661948</v>
      </c>
      <c r="H11">
        <v>0</v>
      </c>
      <c r="I11">
        <v>0</v>
      </c>
      <c r="J11">
        <v>0.539268306560206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>
        <v>334</v>
      </c>
      <c r="B12" s="11">
        <v>37741</v>
      </c>
      <c r="C12">
        <v>0.548920690841246</v>
      </c>
      <c r="D12">
        <v>0.53920699303821</v>
      </c>
      <c r="E12">
        <v>0.956373634414671</v>
      </c>
      <c r="F12">
        <v>0.605048419416529</v>
      </c>
      <c r="G12">
        <v>0.861516216143594</v>
      </c>
      <c r="H12">
        <v>0</v>
      </c>
      <c r="I12">
        <v>0</v>
      </c>
      <c r="J12">
        <v>0.546080054755735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s="1">
        <v>365</v>
      </c>
      <c r="B13" s="11">
        <v>37772</v>
      </c>
      <c r="C13">
        <v>0.609195354434649</v>
      </c>
      <c r="D13">
        <v>0.604951413220367</v>
      </c>
      <c r="E13">
        <v>0.204377280867255</v>
      </c>
      <c r="F13">
        <v>0.983606481389359</v>
      </c>
      <c r="G13">
        <v>0.918091807638821</v>
      </c>
      <c r="H13">
        <v>0</v>
      </c>
      <c r="I13">
        <v>0</v>
      </c>
      <c r="J13">
        <v>0.543941381217093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s="1">
        <v>395</v>
      </c>
      <c r="B14" s="11">
        <v>37802</v>
      </c>
      <c r="C14">
        <v>0.665255388062527</v>
      </c>
      <c r="D14">
        <v>0.649286178003483</v>
      </c>
      <c r="E14">
        <v>0.616666948289773</v>
      </c>
      <c r="F14">
        <v>0.94347839622915</v>
      </c>
      <c r="G14">
        <v>0.976494072979959</v>
      </c>
      <c r="H14">
        <v>0</v>
      </c>
      <c r="I14">
        <v>0</v>
      </c>
      <c r="J14">
        <v>0.570302598489338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>
        <v>426</v>
      </c>
      <c r="B15" s="11">
        <v>37833</v>
      </c>
      <c r="C15">
        <v>0.671531653662922</v>
      </c>
      <c r="D15">
        <v>0.619685475657932</v>
      </c>
      <c r="E15">
        <v>0.805491482855372</v>
      </c>
      <c r="F15">
        <v>0.886804445399303</v>
      </c>
      <c r="G15">
        <v>0.86640571980233</v>
      </c>
      <c r="H15">
        <v>0</v>
      </c>
      <c r="I15">
        <v>0</v>
      </c>
      <c r="J15">
        <v>0.548410840800372</v>
      </c>
      <c r="K15">
        <v>0.968032179865819</v>
      </c>
      <c r="L15">
        <v>0.956528063838804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>
        <v>457</v>
      </c>
      <c r="B16" s="11">
        <v>37864</v>
      </c>
      <c r="C16">
        <v>0.693342613002865</v>
      </c>
      <c r="D16">
        <v>0.62448358451575</v>
      </c>
      <c r="E16">
        <v>0.81724786789806</v>
      </c>
      <c r="F16">
        <v>0.901167856006362</v>
      </c>
      <c r="G16">
        <v>0.90925246110388</v>
      </c>
      <c r="H16">
        <v>0</v>
      </c>
      <c r="I16">
        <v>0</v>
      </c>
      <c r="J16">
        <v>0.573128519519882</v>
      </c>
      <c r="K16">
        <v>0.953783304973246</v>
      </c>
      <c r="L16">
        <v>0.961214388216794</v>
      </c>
      <c r="M16">
        <v>0.73270359174532</v>
      </c>
      <c r="N16">
        <v>0.925940451331842</v>
      </c>
      <c r="O16">
        <v>0.6042963293577</v>
      </c>
      <c r="P16">
        <v>0.979357525924487</v>
      </c>
      <c r="Q16">
        <v>0.854417492942107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s="1">
        <v>487</v>
      </c>
      <c r="B17" s="11">
        <v>37894</v>
      </c>
      <c r="C17">
        <v>0.60825697717199</v>
      </c>
      <c r="D17">
        <v>0.610202646505535</v>
      </c>
      <c r="E17">
        <v>0.661641052720359</v>
      </c>
      <c r="F17">
        <v>0.965282130542719</v>
      </c>
      <c r="G17">
        <v>0.969698360270196</v>
      </c>
      <c r="H17">
        <v>0</v>
      </c>
      <c r="I17">
        <v>0</v>
      </c>
      <c r="J17">
        <v>0.5854158875541</v>
      </c>
      <c r="K17">
        <v>0.97868820597776</v>
      </c>
      <c r="L17">
        <v>0.979641083992029</v>
      </c>
      <c r="M17">
        <v>0.862857815955125</v>
      </c>
      <c r="N17">
        <v>0.905710457740736</v>
      </c>
      <c r="O17">
        <v>0.588683280233928</v>
      </c>
      <c r="P17">
        <v>0.977264122070919</v>
      </c>
      <c r="Q17">
        <v>0.86512611903375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s="1">
        <v>518</v>
      </c>
      <c r="B18" s="11">
        <v>37925</v>
      </c>
      <c r="C18">
        <v>0.574831180624656</v>
      </c>
      <c r="D18">
        <v>0.661588338806756</v>
      </c>
      <c r="E18">
        <v>0.756397880463677</v>
      </c>
      <c r="F18">
        <v>0.928384330345489</v>
      </c>
      <c r="G18">
        <v>0.837894095117043</v>
      </c>
      <c r="H18">
        <v>0</v>
      </c>
      <c r="I18">
        <v>0</v>
      </c>
      <c r="J18">
        <v>0.57760198127821</v>
      </c>
      <c r="K18">
        <v>0.828370877860661</v>
      </c>
      <c r="L18">
        <v>0.94844069036875</v>
      </c>
      <c r="M18">
        <v>0.863060568294777</v>
      </c>
      <c r="N18">
        <v>0.891680302463468</v>
      </c>
      <c r="O18">
        <v>0.537280077192818</v>
      </c>
      <c r="P18">
        <v>0.970093214654024</v>
      </c>
      <c r="Q18">
        <v>0.894609580325123</v>
      </c>
      <c r="R18">
        <v>0.758189444261702</v>
      </c>
      <c r="S18">
        <v>0.916259443575872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s="1">
        <v>548</v>
      </c>
      <c r="B19" s="11">
        <v>37955</v>
      </c>
      <c r="C19">
        <v>0.578826668475883</v>
      </c>
      <c r="D19">
        <v>0.714191889348928</v>
      </c>
      <c r="E19">
        <v>0.821040147498941</v>
      </c>
      <c r="F19">
        <v>0.949826696561434</v>
      </c>
      <c r="G19">
        <v>0.976316437007874</v>
      </c>
      <c r="H19">
        <v>0</v>
      </c>
      <c r="I19">
        <v>0</v>
      </c>
      <c r="J19">
        <v>0.575334537805462</v>
      </c>
      <c r="K19">
        <v>0.950345232755867</v>
      </c>
      <c r="L19">
        <v>0.951284623865961</v>
      </c>
      <c r="M19">
        <v>0.880391933609317</v>
      </c>
      <c r="N19">
        <v>0.889830131397454</v>
      </c>
      <c r="O19">
        <v>0.528571223609384</v>
      </c>
      <c r="P19">
        <v>0.990511514905535</v>
      </c>
      <c r="Q19">
        <v>0.893562319321687</v>
      </c>
      <c r="R19">
        <v>0.754809284030657</v>
      </c>
      <c r="S19">
        <v>0.682938833952302</v>
      </c>
      <c r="T19">
        <v>0</v>
      </c>
      <c r="U19">
        <v>0</v>
      </c>
      <c r="V19">
        <v>0.13444450998012</v>
      </c>
      <c r="W19">
        <v>0</v>
      </c>
      <c r="X19">
        <v>0</v>
      </c>
    </row>
    <row r="20" spans="1:24">
      <c r="A20" s="1">
        <v>579</v>
      </c>
      <c r="B20" s="11">
        <v>37986</v>
      </c>
      <c r="C20">
        <v>0.604151096775885</v>
      </c>
      <c r="D20">
        <v>0.746396840702819</v>
      </c>
      <c r="E20">
        <v>0.849224076373518</v>
      </c>
      <c r="F20">
        <v>0.959720736610829</v>
      </c>
      <c r="G20">
        <v>0.980839459729231</v>
      </c>
      <c r="H20">
        <v>0</v>
      </c>
      <c r="I20">
        <v>0</v>
      </c>
      <c r="J20">
        <v>0.6109186852509</v>
      </c>
      <c r="K20">
        <v>0.986377020165048</v>
      </c>
      <c r="L20">
        <v>0.958932544255028</v>
      </c>
      <c r="M20">
        <v>0.924816917597949</v>
      </c>
      <c r="N20">
        <v>0.906233595603697</v>
      </c>
      <c r="O20">
        <v>0.529270001358378</v>
      </c>
      <c r="P20">
        <v>0.996134012730865</v>
      </c>
      <c r="Q20">
        <v>0.916962779806449</v>
      </c>
      <c r="R20">
        <v>0.782041679813958</v>
      </c>
      <c r="S20">
        <v>0.0148382188993405</v>
      </c>
      <c r="T20">
        <v>0</v>
      </c>
      <c r="U20">
        <v>0</v>
      </c>
      <c r="V20">
        <v>0.138107649522322</v>
      </c>
      <c r="W20">
        <v>0</v>
      </c>
      <c r="X20">
        <v>0</v>
      </c>
    </row>
    <row r="21" spans="1:24">
      <c r="A21" s="1">
        <v>610</v>
      </c>
      <c r="B21" s="11">
        <v>38017</v>
      </c>
      <c r="C21">
        <v>0.487956142502597</v>
      </c>
      <c r="D21">
        <v>0.727171939084361</v>
      </c>
      <c r="E21">
        <v>0.655579412011659</v>
      </c>
      <c r="F21">
        <v>0.959909575969572</v>
      </c>
      <c r="G21">
        <v>0.980432176513328</v>
      </c>
      <c r="H21">
        <v>0</v>
      </c>
      <c r="I21">
        <v>0</v>
      </c>
      <c r="J21">
        <v>0.842761575108305</v>
      </c>
      <c r="K21">
        <v>0.990676240908635</v>
      </c>
      <c r="L21">
        <v>0.878746137878918</v>
      </c>
      <c r="M21">
        <v>0.77499718664311</v>
      </c>
      <c r="N21">
        <v>0.910645755184891</v>
      </c>
      <c r="O21">
        <v>0.511811536849946</v>
      </c>
      <c r="P21">
        <v>0.986755153841856</v>
      </c>
      <c r="Q21">
        <v>0.948254140699084</v>
      </c>
      <c r="R21">
        <v>0.73832639457826</v>
      </c>
      <c r="S21">
        <v>0.0138388389263494</v>
      </c>
      <c r="T21">
        <v>0.970890893612761</v>
      </c>
      <c r="U21">
        <v>0.831286652119358</v>
      </c>
      <c r="V21">
        <v>0</v>
      </c>
      <c r="W21">
        <v>0</v>
      </c>
      <c r="X21">
        <v>0.948622416769025</v>
      </c>
    </row>
    <row r="22" spans="1:24">
      <c r="A22" s="1">
        <v>639</v>
      </c>
      <c r="B22" s="11">
        <v>38046</v>
      </c>
      <c r="C22">
        <v>0.649125550795661</v>
      </c>
      <c r="D22">
        <v>0.854980995816088</v>
      </c>
      <c r="E22">
        <v>0.728503390362785</v>
      </c>
      <c r="F22">
        <v>0.951074197488657</v>
      </c>
      <c r="G22">
        <v>0</v>
      </c>
      <c r="H22">
        <v>0</v>
      </c>
      <c r="I22">
        <v>0</v>
      </c>
      <c r="J22">
        <v>0.818164228600741</v>
      </c>
      <c r="K22">
        <v>0.927292713797512</v>
      </c>
      <c r="L22">
        <v>0.968793105838276</v>
      </c>
      <c r="M22">
        <v>0.92464925749373</v>
      </c>
      <c r="N22">
        <v>0.927004356913188</v>
      </c>
      <c r="O22">
        <v>0.588556934473135</v>
      </c>
      <c r="P22">
        <v>0.978258851231132</v>
      </c>
      <c r="Q22">
        <v>0.939984983972497</v>
      </c>
      <c r="R22">
        <v>0.75252174543548</v>
      </c>
      <c r="S22">
        <v>0.416926249516634</v>
      </c>
      <c r="T22">
        <v>0.979209627973828</v>
      </c>
      <c r="U22">
        <v>0.881252295512358</v>
      </c>
      <c r="V22">
        <v>0</v>
      </c>
      <c r="W22">
        <v>0.0112737771678112</v>
      </c>
      <c r="X22">
        <v>0.978947655149846</v>
      </c>
    </row>
    <row r="23" spans="1:24">
      <c r="A23" s="1">
        <v>670</v>
      </c>
      <c r="B23" s="11">
        <v>38077</v>
      </c>
      <c r="C23">
        <v>0.772215630520913</v>
      </c>
      <c r="D23">
        <v>0.715537678226674</v>
      </c>
      <c r="E23">
        <v>0.650633186586228</v>
      </c>
      <c r="F23">
        <v>0.957387195834417</v>
      </c>
      <c r="G23">
        <v>0</v>
      </c>
      <c r="H23">
        <v>0</v>
      </c>
      <c r="I23">
        <v>0</v>
      </c>
      <c r="J23">
        <v>0.812610468391838</v>
      </c>
      <c r="K23">
        <v>0.892727772697373</v>
      </c>
      <c r="L23">
        <v>0.975489645321871</v>
      </c>
      <c r="M23">
        <v>0.942375026541377</v>
      </c>
      <c r="N23">
        <v>0.942030602827521</v>
      </c>
      <c r="O23">
        <v>0.610381417618324</v>
      </c>
      <c r="P23">
        <v>0.9754902762892</v>
      </c>
      <c r="Q23">
        <v>0.934017209422455</v>
      </c>
      <c r="R23">
        <v>0.65165581966767</v>
      </c>
      <c r="S23">
        <v>0.52432148407076</v>
      </c>
      <c r="T23">
        <v>0.983690647085525</v>
      </c>
      <c r="U23">
        <v>0.922072751655352</v>
      </c>
      <c r="V23">
        <v>0</v>
      </c>
      <c r="W23">
        <v>0.0122802414112083</v>
      </c>
      <c r="X23">
        <v>0.989237131672558</v>
      </c>
    </row>
    <row r="24" spans="1:24">
      <c r="A24" s="1">
        <v>700</v>
      </c>
      <c r="B24" s="11">
        <v>38107</v>
      </c>
      <c r="C24">
        <v>0.755275861941989</v>
      </c>
      <c r="D24">
        <v>0.610095568139873</v>
      </c>
      <c r="E24">
        <v>0.934876146626766</v>
      </c>
      <c r="F24">
        <v>0.982474692458711</v>
      </c>
      <c r="G24">
        <v>0.980966927668266</v>
      </c>
      <c r="H24">
        <v>0</v>
      </c>
      <c r="I24">
        <v>0</v>
      </c>
      <c r="J24">
        <v>0.818504337527114</v>
      </c>
      <c r="K24">
        <v>0.985885823994912</v>
      </c>
      <c r="L24">
        <v>0.9853800986504</v>
      </c>
      <c r="M24">
        <v>0.94522956047411</v>
      </c>
      <c r="N24">
        <v>0.95747495220665</v>
      </c>
      <c r="O24">
        <v>0.660961685087496</v>
      </c>
      <c r="P24">
        <v>0.992400742587687</v>
      </c>
      <c r="Q24">
        <v>0.936038809478165</v>
      </c>
      <c r="R24">
        <v>0.669996533172404</v>
      </c>
      <c r="S24">
        <v>0.586869031688002</v>
      </c>
      <c r="T24">
        <v>0.9859283054301</v>
      </c>
      <c r="U24">
        <v>0.9426747910298</v>
      </c>
      <c r="V24">
        <v>0.365131783347142</v>
      </c>
      <c r="W24">
        <v>0.0192819521142044</v>
      </c>
      <c r="X24">
        <v>0.987913762303198</v>
      </c>
    </row>
    <row r="25" spans="1:24">
      <c r="A25" s="1">
        <v>731</v>
      </c>
      <c r="B25" s="11">
        <v>38138</v>
      </c>
      <c r="C25">
        <v>0.771044162534227</v>
      </c>
      <c r="D25">
        <v>0.726336284324797</v>
      </c>
      <c r="E25">
        <v>0.783379678362946</v>
      </c>
      <c r="F25">
        <v>0.960467674655233</v>
      </c>
      <c r="G25">
        <v>0.895372006050102</v>
      </c>
      <c r="H25">
        <v>0</v>
      </c>
      <c r="I25">
        <v>0</v>
      </c>
      <c r="J25">
        <v>0.823831134655703</v>
      </c>
      <c r="K25">
        <v>0.918039494470098</v>
      </c>
      <c r="L25">
        <v>0.990947789004245</v>
      </c>
      <c r="M25">
        <v>0.950928617464848</v>
      </c>
      <c r="N25">
        <v>0</v>
      </c>
      <c r="O25">
        <v>0.707467022630505</v>
      </c>
      <c r="P25">
        <v>1</v>
      </c>
      <c r="Q25">
        <v>0.943298969072165</v>
      </c>
      <c r="R25">
        <v>0.709602566379851</v>
      </c>
      <c r="S25">
        <v>0.618059786476868</v>
      </c>
      <c r="T25">
        <v>0.988066062329126</v>
      </c>
      <c r="U25">
        <v>0.951054658991394</v>
      </c>
      <c r="V25">
        <v>0.412316091079075</v>
      </c>
      <c r="W25">
        <v>0.0357967907760828</v>
      </c>
      <c r="X25">
        <v>0.981888172705151</v>
      </c>
    </row>
    <row r="26" spans="1:24">
      <c r="A26" s="1">
        <v>761</v>
      </c>
      <c r="B26" s="11">
        <v>38168</v>
      </c>
      <c r="C26">
        <v>0.757712573621196</v>
      </c>
      <c r="D26">
        <v>0.738132403244357</v>
      </c>
      <c r="E26">
        <v>0.756215085543295</v>
      </c>
      <c r="F26">
        <v>0.965336231668184</v>
      </c>
      <c r="G26">
        <v>0.748564261667437</v>
      </c>
      <c r="H26">
        <v>0</v>
      </c>
      <c r="I26">
        <v>0</v>
      </c>
      <c r="J26">
        <v>0.822894616819428</v>
      </c>
      <c r="K26">
        <v>0.980333380560389</v>
      </c>
      <c r="L26">
        <v>0.991249988883715</v>
      </c>
      <c r="M26">
        <v>0.952501223925154</v>
      </c>
      <c r="N26">
        <v>0.968385367368156</v>
      </c>
      <c r="O26">
        <v>0.714502319277898</v>
      </c>
      <c r="P26">
        <v>1</v>
      </c>
      <c r="Q26">
        <v>0.945102188571553</v>
      </c>
      <c r="R26">
        <v>0.716605047420029</v>
      </c>
      <c r="S26">
        <v>0.626106812127363</v>
      </c>
      <c r="T26">
        <v>0.987364852254617</v>
      </c>
      <c r="U26">
        <v>0.952624152182571</v>
      </c>
      <c r="V26">
        <v>0</v>
      </c>
      <c r="W26">
        <v>0.0369973628623913</v>
      </c>
      <c r="X26">
        <v>0.984962536465911</v>
      </c>
    </row>
    <row r="27" spans="1:24">
      <c r="A27" s="1">
        <v>792</v>
      </c>
      <c r="B27" s="11">
        <v>38199</v>
      </c>
      <c r="C27">
        <v>0.82132055349399</v>
      </c>
      <c r="D27">
        <v>0.716540119489781</v>
      </c>
      <c r="E27">
        <v>0.616570183629007</v>
      </c>
      <c r="F27">
        <v>0.969714649037897</v>
      </c>
      <c r="G27">
        <v>0.753220530575245</v>
      </c>
      <c r="H27">
        <v>0</v>
      </c>
      <c r="I27">
        <v>0</v>
      </c>
      <c r="J27">
        <v>0.870815981787935</v>
      </c>
      <c r="K27">
        <v>0.983767203760785</v>
      </c>
      <c r="L27">
        <v>0.990924196500371</v>
      </c>
      <c r="M27">
        <v>0.907589493975276</v>
      </c>
      <c r="N27">
        <v>0.96723821430083</v>
      </c>
      <c r="O27">
        <v>0.706923235123966</v>
      </c>
      <c r="P27">
        <v>0.710269674243643</v>
      </c>
      <c r="Q27">
        <v>0.942506819620612</v>
      </c>
      <c r="R27">
        <v>0.701249554994778</v>
      </c>
      <c r="S27">
        <v>0.59721449783472</v>
      </c>
      <c r="T27">
        <v>0.995757089116939</v>
      </c>
      <c r="U27">
        <v>0.949883671015465</v>
      </c>
      <c r="V27">
        <v>0</v>
      </c>
      <c r="W27">
        <v>0.0357063279086472</v>
      </c>
      <c r="X27">
        <v>0.993770492259495</v>
      </c>
    </row>
    <row r="28" spans="1:24">
      <c r="A28" s="1">
        <v>823</v>
      </c>
      <c r="B28" s="11">
        <v>38230</v>
      </c>
      <c r="C28">
        <v>0.8213823432318</v>
      </c>
      <c r="D28">
        <v>0.724071950968071</v>
      </c>
      <c r="E28">
        <v>0.394878456114307</v>
      </c>
      <c r="F28">
        <v>0.969588429831956</v>
      </c>
      <c r="G28">
        <v>0.757064724180938</v>
      </c>
      <c r="H28">
        <v>0</v>
      </c>
      <c r="I28">
        <v>0</v>
      </c>
      <c r="J28">
        <v>0.868454141220476</v>
      </c>
      <c r="K28">
        <v>0.982505285979543</v>
      </c>
      <c r="L28">
        <v>0.990885503138624</v>
      </c>
      <c r="M28">
        <v>0.856172207756337</v>
      </c>
      <c r="N28">
        <v>0.967101792126896</v>
      </c>
      <c r="O28">
        <v>0.70603373179917</v>
      </c>
      <c r="P28">
        <v>0.000838137247522746</v>
      </c>
      <c r="Q28">
        <v>0.942220065763501</v>
      </c>
      <c r="R28">
        <v>0.693082202308944</v>
      </c>
      <c r="S28">
        <v>0.583098428015765</v>
      </c>
      <c r="T28">
        <v>1</v>
      </c>
      <c r="U28">
        <v>0.949394063575859</v>
      </c>
      <c r="V28">
        <v>0</v>
      </c>
      <c r="W28">
        <v>0.0355603649354972</v>
      </c>
      <c r="X28">
        <v>0.995876354507929</v>
      </c>
    </row>
    <row r="29" spans="1:24">
      <c r="A29" s="1">
        <v>853</v>
      </c>
      <c r="B29" s="11">
        <v>38260</v>
      </c>
      <c r="C29">
        <v>0.798481130629902</v>
      </c>
      <c r="D29">
        <v>0.758106777431338</v>
      </c>
      <c r="E29">
        <v>0.381578947368421</v>
      </c>
      <c r="F29">
        <v>0.975323769490987</v>
      </c>
      <c r="G29">
        <v>0.842077594779559</v>
      </c>
      <c r="H29">
        <v>0</v>
      </c>
      <c r="I29">
        <v>0</v>
      </c>
      <c r="J29">
        <v>0.844979997307662</v>
      </c>
      <c r="K29">
        <v>0.986899083810716</v>
      </c>
      <c r="L29">
        <v>0.990060262234881</v>
      </c>
      <c r="M29">
        <v>0.845056690979996</v>
      </c>
      <c r="N29">
        <v>0.964199831827372</v>
      </c>
      <c r="O29">
        <v>0.687549220818435</v>
      </c>
      <c r="P29">
        <v>0.000770351563963281</v>
      </c>
      <c r="Q29">
        <v>0.937266947534146</v>
      </c>
      <c r="R29">
        <v>0.674157559848204</v>
      </c>
      <c r="S29">
        <v>0.561682240805361</v>
      </c>
      <c r="T29">
        <v>0.999559563518027</v>
      </c>
      <c r="U29">
        <v>0.973284388083247</v>
      </c>
      <c r="V29">
        <v>0</v>
      </c>
      <c r="W29">
        <v>0.0326754562024239</v>
      </c>
      <c r="X29">
        <v>0.990876208619058</v>
      </c>
    </row>
    <row r="30" spans="1:24">
      <c r="A30" s="1">
        <v>884</v>
      </c>
      <c r="B30" s="11">
        <v>38291</v>
      </c>
      <c r="C30">
        <v>0.81645997663002</v>
      </c>
      <c r="D30">
        <v>0.767736250594978</v>
      </c>
      <c r="E30">
        <v>0.479807342075138</v>
      </c>
      <c r="F30">
        <v>0.925573269213566</v>
      </c>
      <c r="G30">
        <v>0.896627258072223</v>
      </c>
      <c r="H30">
        <v>0</v>
      </c>
      <c r="I30">
        <v>0</v>
      </c>
      <c r="J30">
        <v>0.790441548329475</v>
      </c>
      <c r="K30">
        <v>0.933286770325459</v>
      </c>
      <c r="L30">
        <v>0.989350531654685</v>
      </c>
      <c r="M30">
        <v>0.83571234081302</v>
      </c>
      <c r="N30">
        <v>0.961715831430998</v>
      </c>
      <c r="O30">
        <v>0.672387551920358</v>
      </c>
      <c r="P30">
        <v>0.000717311411895636</v>
      </c>
      <c r="Q30">
        <v>0.933043487640038</v>
      </c>
      <c r="R30">
        <v>0.658671350115692</v>
      </c>
      <c r="S30">
        <v>0.544459307029511</v>
      </c>
      <c r="T30">
        <v>0.999302506688957</v>
      </c>
      <c r="U30">
        <v>0.993005787209198</v>
      </c>
      <c r="V30">
        <v>0</v>
      </c>
      <c r="W30">
        <v>0.0305443283444264</v>
      </c>
      <c r="X30">
        <v>0.979596283923523</v>
      </c>
    </row>
    <row r="31" spans="1:24">
      <c r="A31" s="1">
        <v>914</v>
      </c>
      <c r="B31" s="11">
        <v>38321</v>
      </c>
      <c r="C31">
        <v>0.799342283314565</v>
      </c>
      <c r="D31">
        <v>0.70737149341621</v>
      </c>
      <c r="E31">
        <v>0.46389521249926</v>
      </c>
      <c r="F31">
        <v>0.968841253104906</v>
      </c>
      <c r="G31">
        <v>0.69560645394499</v>
      </c>
      <c r="H31">
        <v>0</v>
      </c>
      <c r="I31">
        <v>0</v>
      </c>
      <c r="J31">
        <v>0.73153558160863</v>
      </c>
      <c r="K31">
        <v>0.867595818815331</v>
      </c>
      <c r="L31">
        <v>0.992913344613944</v>
      </c>
      <c r="M31">
        <v>0.82642567234205</v>
      </c>
      <c r="N31">
        <v>0.960573801552049</v>
      </c>
      <c r="O31">
        <v>0.483882384777531</v>
      </c>
      <c r="P31">
        <v>0.00066429589632383</v>
      </c>
      <c r="Q31">
        <v>0.93225459128003</v>
      </c>
      <c r="R31">
        <v>0.720559620828914</v>
      </c>
      <c r="S31">
        <v>0.449485764758551</v>
      </c>
      <c r="T31">
        <v>0.998973903504358</v>
      </c>
      <c r="U31">
        <v>0.98643264349373</v>
      </c>
      <c r="V31">
        <v>0.527064095137493</v>
      </c>
      <c r="W31">
        <v>0.061329237569723</v>
      </c>
      <c r="X31">
        <v>0.979912472861857</v>
      </c>
    </row>
    <row r="32" spans="1:24">
      <c r="A32" s="1">
        <v>945</v>
      </c>
      <c r="B32" s="11">
        <v>38352</v>
      </c>
      <c r="C32">
        <v>0.709652503607523</v>
      </c>
      <c r="D32">
        <v>0.813578783831988</v>
      </c>
      <c r="E32">
        <v>0.7325644112952</v>
      </c>
      <c r="F32">
        <v>1</v>
      </c>
      <c r="G32">
        <v>0.722128309711392</v>
      </c>
      <c r="H32">
        <v>0</v>
      </c>
      <c r="I32">
        <v>0</v>
      </c>
      <c r="J32">
        <v>0.782211202938476</v>
      </c>
      <c r="K32">
        <v>0.871470328053541</v>
      </c>
      <c r="L32">
        <v>0.999251560292854</v>
      </c>
      <c r="M32">
        <v>0.825506859389785</v>
      </c>
      <c r="N32">
        <v>0.997747255495067</v>
      </c>
      <c r="O32">
        <v>0.407229097612607</v>
      </c>
      <c r="P32">
        <v>0.000666210046562673</v>
      </c>
      <c r="Q32">
        <v>0.949677897267659</v>
      </c>
      <c r="R32">
        <v>0.730281331934039</v>
      </c>
      <c r="S32">
        <v>0.43921323132074</v>
      </c>
      <c r="T32">
        <v>0.996546422852573</v>
      </c>
      <c r="U32">
        <v>0.868904832967035</v>
      </c>
      <c r="V32">
        <v>0.531836623152761</v>
      </c>
      <c r="W32">
        <v>0.0655835406558354</v>
      </c>
      <c r="X32">
        <v>0.985684650385461</v>
      </c>
    </row>
    <row r="33" spans="1:24">
      <c r="A33" s="1">
        <v>976</v>
      </c>
      <c r="B33" s="11">
        <v>38383</v>
      </c>
      <c r="C33">
        <v>0.662795918305015</v>
      </c>
      <c r="D33">
        <v>0.829098497474308</v>
      </c>
      <c r="E33">
        <v>0.958730767783232</v>
      </c>
      <c r="F33">
        <v>1</v>
      </c>
      <c r="G33">
        <v>0.729451056272696</v>
      </c>
      <c r="H33">
        <v>0</v>
      </c>
      <c r="I33">
        <v>0</v>
      </c>
      <c r="J33">
        <v>0.830243340499912</v>
      </c>
      <c r="K33">
        <v>0.873874751528141</v>
      </c>
      <c r="L33">
        <v>0.999182312556296</v>
      </c>
      <c r="M33">
        <v>0.812647034823055</v>
      </c>
      <c r="N33">
        <v>0.997545140679143</v>
      </c>
      <c r="O33">
        <v>0.386455361121359</v>
      </c>
      <c r="P33">
        <v>0.000610851812633401</v>
      </c>
      <c r="Q33">
        <v>0.945364527038806</v>
      </c>
      <c r="R33">
        <v>0.712846350535986</v>
      </c>
      <c r="S33">
        <v>0.417959266253035</v>
      </c>
      <c r="T33">
        <v>0.99046295413184</v>
      </c>
      <c r="U33">
        <v>0.898200831927298</v>
      </c>
      <c r="V33">
        <v>0.510178360774745</v>
      </c>
      <c r="W33">
        <v>0.0604603385892131</v>
      </c>
      <c r="X33">
        <v>0.984406835957973</v>
      </c>
    </row>
    <row r="34" spans="1:24">
      <c r="A34" s="1">
        <v>1004</v>
      </c>
      <c r="B34" s="11">
        <v>38411</v>
      </c>
      <c r="C34">
        <v>0.643009460701359</v>
      </c>
      <c r="D34">
        <v>0.832472165740924</v>
      </c>
      <c r="E34">
        <v>0.955134055004874</v>
      </c>
      <c r="F34">
        <v>1</v>
      </c>
      <c r="G34">
        <v>0.711877121376453</v>
      </c>
      <c r="H34">
        <v>0</v>
      </c>
      <c r="I34">
        <v>0</v>
      </c>
      <c r="J34">
        <v>0.824475976889046</v>
      </c>
      <c r="K34">
        <v>0.863931171173103</v>
      </c>
      <c r="L34">
        <v>0.997571857200278</v>
      </c>
      <c r="M34">
        <v>0.80725527270819</v>
      </c>
      <c r="N34">
        <v>0.997346628367842</v>
      </c>
      <c r="O34">
        <v>0.379546554796895</v>
      </c>
      <c r="P34">
        <v>0.907846829065011</v>
      </c>
      <c r="Q34">
        <v>0.940674684394141</v>
      </c>
      <c r="R34">
        <v>0.678547835170788</v>
      </c>
      <c r="S34">
        <v>0.396879373092772</v>
      </c>
      <c r="T34">
        <v>0.973138371247272</v>
      </c>
      <c r="U34">
        <v>0.973138507535007</v>
      </c>
      <c r="V34">
        <v>0.488348231992946</v>
      </c>
      <c r="W34">
        <v>0.074351066094044</v>
      </c>
      <c r="X34">
        <v>0.980947449127512</v>
      </c>
    </row>
    <row r="35" spans="1:24">
      <c r="A35" s="1">
        <v>1035</v>
      </c>
      <c r="B35" s="11">
        <v>38442</v>
      </c>
      <c r="C35">
        <v>0.73185627068206</v>
      </c>
      <c r="D35">
        <v>0.889591746276403</v>
      </c>
      <c r="E35">
        <v>0.769388739362447</v>
      </c>
      <c r="F35">
        <v>1</v>
      </c>
      <c r="G35">
        <v>0.707843230980229</v>
      </c>
      <c r="H35">
        <v>0</v>
      </c>
      <c r="I35">
        <v>0</v>
      </c>
      <c r="J35">
        <v>0.821718824120323</v>
      </c>
      <c r="K35">
        <v>0.861612310428942</v>
      </c>
      <c r="L35">
        <v>0.971865179862401</v>
      </c>
      <c r="M35">
        <v>0.950979846465452</v>
      </c>
      <c r="N35">
        <v>0</v>
      </c>
      <c r="O35">
        <v>0.781406366399455</v>
      </c>
      <c r="P35">
        <v>0.97147560436786</v>
      </c>
      <c r="Q35">
        <v>0.9319510374617</v>
      </c>
      <c r="R35">
        <v>0.604680543565768</v>
      </c>
      <c r="S35">
        <v>0.559354702434388</v>
      </c>
      <c r="T35">
        <v>0.975106033036567</v>
      </c>
      <c r="U35">
        <v>0</v>
      </c>
      <c r="V35">
        <v>0.581656378640773</v>
      </c>
      <c r="W35">
        <v>0.332095796155221</v>
      </c>
      <c r="X35">
        <v>0.986755811479632</v>
      </c>
    </row>
    <row r="36" spans="1:24">
      <c r="A36" s="1">
        <v>1065</v>
      </c>
      <c r="B36" s="11">
        <v>38472</v>
      </c>
      <c r="C36">
        <v>0.7338839222689</v>
      </c>
      <c r="D36">
        <v>0.869816171768977</v>
      </c>
      <c r="E36">
        <v>0.911738862673767</v>
      </c>
      <c r="F36">
        <v>1</v>
      </c>
      <c r="G36">
        <v>0.829241079115384</v>
      </c>
      <c r="H36">
        <v>0</v>
      </c>
      <c r="I36">
        <v>0</v>
      </c>
      <c r="J36">
        <v>0.806311305756367</v>
      </c>
      <c r="K36">
        <v>0.866500504190409</v>
      </c>
      <c r="L36">
        <v>0.982496556689028</v>
      </c>
      <c r="M36">
        <v>0.978509401715861</v>
      </c>
      <c r="N36">
        <v>0.997116557290269</v>
      </c>
      <c r="O36">
        <v>0.913874956484745</v>
      </c>
      <c r="P36">
        <v>0.962475592138156</v>
      </c>
      <c r="Q36">
        <v>0.959946839005577</v>
      </c>
      <c r="R36">
        <v>0.610658335934911</v>
      </c>
      <c r="S36">
        <v>0.64536788288461</v>
      </c>
      <c r="T36">
        <v>0.964244941202239</v>
      </c>
      <c r="U36">
        <v>0.971139616960464</v>
      </c>
      <c r="V36">
        <v>0.572100611828688</v>
      </c>
      <c r="W36">
        <v>0.214115355755087</v>
      </c>
      <c r="X36">
        <v>0.998462104217465</v>
      </c>
    </row>
    <row r="37" spans="1:24">
      <c r="A37" s="1">
        <v>1096</v>
      </c>
      <c r="B37" s="11">
        <v>38503</v>
      </c>
      <c r="C37">
        <v>0.717781052836307</v>
      </c>
      <c r="D37">
        <v>0.883849766063452</v>
      </c>
      <c r="E37">
        <v>0.910131850278579</v>
      </c>
      <c r="F37">
        <v>0.984109226347089</v>
      </c>
      <c r="G37">
        <v>0.958212194914078</v>
      </c>
      <c r="H37">
        <v>0</v>
      </c>
      <c r="I37">
        <v>0</v>
      </c>
      <c r="J37">
        <v>0.851279820328894</v>
      </c>
      <c r="K37">
        <v>0.903726127542666</v>
      </c>
      <c r="L37">
        <v>0.975502438834557</v>
      </c>
      <c r="M37">
        <v>0.991776981714523</v>
      </c>
      <c r="N37">
        <v>0.971438051091931</v>
      </c>
      <c r="O37">
        <v>0.973718304711862</v>
      </c>
      <c r="P37">
        <v>0.96943996135115</v>
      </c>
      <c r="Q37">
        <v>0.972703385755469</v>
      </c>
      <c r="R37">
        <v>0.608380696379147</v>
      </c>
      <c r="S37">
        <v>0.452998584447247</v>
      </c>
      <c r="T37">
        <v>0.964440972517249</v>
      </c>
      <c r="U37">
        <v>0.970007562248213</v>
      </c>
      <c r="V37">
        <v>0.567835404745417</v>
      </c>
      <c r="W37">
        <v>0.158990466525115</v>
      </c>
      <c r="X37">
        <v>0.968937652105756</v>
      </c>
    </row>
    <row r="38" spans="1:24">
      <c r="A38" s="1">
        <v>1126</v>
      </c>
      <c r="B38" s="11">
        <v>38533</v>
      </c>
      <c r="C38">
        <v>0.742969103240392</v>
      </c>
      <c r="D38">
        <v>0.831434948591467</v>
      </c>
      <c r="E38">
        <v>0.910320263117792</v>
      </c>
      <c r="F38">
        <v>0.975463336236143</v>
      </c>
      <c r="G38">
        <v>0.94947799676505</v>
      </c>
      <c r="H38">
        <v>0</v>
      </c>
      <c r="I38">
        <v>0</v>
      </c>
      <c r="J38">
        <v>0.933641291689691</v>
      </c>
      <c r="K38">
        <v>0.962846174444422</v>
      </c>
      <c r="L38">
        <v>0.969162882431349</v>
      </c>
      <c r="M38">
        <v>0.971905738470318</v>
      </c>
      <c r="N38">
        <v>0.974966193695838</v>
      </c>
      <c r="O38">
        <v>0.984083664299426</v>
      </c>
      <c r="P38">
        <v>0.96778228035992</v>
      </c>
      <c r="Q38">
        <v>0.965347520029311</v>
      </c>
      <c r="R38">
        <v>0.66547642381139</v>
      </c>
      <c r="S38">
        <v>0.451404986453109</v>
      </c>
      <c r="T38">
        <v>0.966272723388267</v>
      </c>
      <c r="U38">
        <v>0.966686539480657</v>
      </c>
      <c r="V38">
        <v>0.627126181607306</v>
      </c>
      <c r="W38">
        <v>0.950092111874058</v>
      </c>
      <c r="X38">
        <v>0.970316727302751</v>
      </c>
    </row>
    <row r="39" spans="1:24">
      <c r="A39" s="1">
        <v>1157</v>
      </c>
      <c r="B39" s="11">
        <v>38564</v>
      </c>
      <c r="C39">
        <v>0.725585754451734</v>
      </c>
      <c r="D39">
        <v>0.655416706401896</v>
      </c>
      <c r="E39">
        <v>0.912838542515399</v>
      </c>
      <c r="F39">
        <v>0.927998555567804</v>
      </c>
      <c r="G39">
        <v>0.932665862644371</v>
      </c>
      <c r="H39">
        <v>0</v>
      </c>
      <c r="I39">
        <v>0</v>
      </c>
      <c r="J39">
        <v>0.980677627676858</v>
      </c>
      <c r="K39">
        <v>0.951644054404142</v>
      </c>
      <c r="L39">
        <v>0.971006063329162</v>
      </c>
      <c r="M39">
        <v>0.961588803769626</v>
      </c>
      <c r="N39">
        <v>0.970104803396205</v>
      </c>
      <c r="O39">
        <v>0.982331621432606</v>
      </c>
      <c r="P39">
        <v>0.967135804709604</v>
      </c>
      <c r="Q39">
        <v>0.970185615065321</v>
      </c>
      <c r="R39">
        <v>0.780091587047737</v>
      </c>
      <c r="S39">
        <v>0.455706058885554</v>
      </c>
      <c r="T39">
        <v>0.970962534892224</v>
      </c>
      <c r="U39">
        <v>0</v>
      </c>
      <c r="V39">
        <v>0.846957489249097</v>
      </c>
      <c r="W39">
        <v>0.952316336209329</v>
      </c>
      <c r="X39">
        <v>0</v>
      </c>
    </row>
    <row r="40" spans="1:24">
      <c r="A40" s="1">
        <v>1188</v>
      </c>
      <c r="B40" s="11">
        <v>38595</v>
      </c>
      <c r="C40">
        <v>0.732578961823675</v>
      </c>
      <c r="D40">
        <v>0.642574137432761</v>
      </c>
      <c r="E40">
        <v>0.919840158509814</v>
      </c>
      <c r="F40">
        <v>0.905590253638451</v>
      </c>
      <c r="G40">
        <v>0.927681311980269</v>
      </c>
      <c r="H40">
        <v>0</v>
      </c>
      <c r="I40">
        <v>0</v>
      </c>
      <c r="J40">
        <v>0.979357656595821</v>
      </c>
      <c r="K40">
        <v>0.946498277250151</v>
      </c>
      <c r="L40">
        <v>0.969046827870876</v>
      </c>
      <c r="M40">
        <v>0.968432379879809</v>
      </c>
      <c r="N40">
        <v>0.952828927460553</v>
      </c>
      <c r="O40">
        <v>0.972138796302045</v>
      </c>
      <c r="P40">
        <v>0.964902846865335</v>
      </c>
      <c r="Q40">
        <v>0.975161635741704</v>
      </c>
      <c r="R40">
        <v>0.768321498169827</v>
      </c>
      <c r="S40">
        <v>0.841007128820918</v>
      </c>
      <c r="T40">
        <v>0.967644587200508</v>
      </c>
      <c r="U40">
        <v>0</v>
      </c>
      <c r="V40">
        <v>0.854861735863057</v>
      </c>
      <c r="W40">
        <v>0.942786122142366</v>
      </c>
      <c r="X40">
        <v>0</v>
      </c>
    </row>
    <row r="41" spans="1:24">
      <c r="A41" s="1">
        <v>1218</v>
      </c>
      <c r="B41" s="11">
        <v>38625</v>
      </c>
      <c r="C41">
        <v>0.697588987008074</v>
      </c>
      <c r="D41">
        <v>0.667453378611395</v>
      </c>
      <c r="E41">
        <v>0</v>
      </c>
      <c r="F41">
        <v>0.913411990778948</v>
      </c>
      <c r="G41">
        <v>0.905236272851206</v>
      </c>
      <c r="H41">
        <v>0</v>
      </c>
      <c r="I41">
        <v>0</v>
      </c>
      <c r="J41">
        <v>0.980252270804987</v>
      </c>
      <c r="K41">
        <v>0.894839570943737</v>
      </c>
      <c r="L41">
        <v>0.970374833773635</v>
      </c>
      <c r="M41">
        <v>0.977289225375409</v>
      </c>
      <c r="N41">
        <v>0.956541292791811</v>
      </c>
      <c r="O41">
        <v>0.965392935094329</v>
      </c>
      <c r="P41">
        <v>0</v>
      </c>
      <c r="Q41">
        <v>0.97531394370015</v>
      </c>
      <c r="R41">
        <v>0.776260926061749</v>
      </c>
      <c r="S41">
        <v>0.963683850865175</v>
      </c>
      <c r="T41">
        <v>0.967869512004583</v>
      </c>
      <c r="U41">
        <v>0</v>
      </c>
      <c r="V41">
        <v>0.877526742117948</v>
      </c>
      <c r="W41">
        <v>0.936454357318934</v>
      </c>
      <c r="X41">
        <v>0</v>
      </c>
    </row>
    <row r="42" spans="1:24">
      <c r="A42" s="1">
        <v>1249</v>
      </c>
      <c r="B42" s="11">
        <v>38656</v>
      </c>
      <c r="C42">
        <v>0.425089296547715</v>
      </c>
      <c r="D42">
        <v>0.692679762224663</v>
      </c>
      <c r="E42">
        <v>0</v>
      </c>
      <c r="F42">
        <v>0.923133139664153</v>
      </c>
      <c r="G42">
        <v>0.914542217928693</v>
      </c>
      <c r="H42">
        <v>0</v>
      </c>
      <c r="I42">
        <v>0</v>
      </c>
      <c r="J42">
        <v>0.981082617454518</v>
      </c>
      <c r="K42">
        <v>0.847481070807304</v>
      </c>
      <c r="L42">
        <v>0.969124291293143</v>
      </c>
      <c r="M42">
        <v>0.970593128486352</v>
      </c>
      <c r="N42">
        <v>0.963906629533987</v>
      </c>
      <c r="O42">
        <v>0.965375260893292</v>
      </c>
      <c r="P42">
        <v>0</v>
      </c>
      <c r="Q42">
        <v>0.976346271801483</v>
      </c>
      <c r="R42">
        <v>0.96599325883564</v>
      </c>
      <c r="S42">
        <v>0.9829777072654</v>
      </c>
      <c r="T42">
        <v>0.954356656110713</v>
      </c>
      <c r="U42">
        <v>0</v>
      </c>
      <c r="V42">
        <v>0.93170147978863</v>
      </c>
      <c r="W42">
        <v>0.866696260392797</v>
      </c>
      <c r="X42">
        <v>0</v>
      </c>
    </row>
    <row r="43" spans="1:24">
      <c r="A43" s="1">
        <v>1279</v>
      </c>
      <c r="B43" s="11">
        <v>38686</v>
      </c>
      <c r="C43">
        <v>0.416163839237932</v>
      </c>
      <c r="D43">
        <v>0.739393522511416</v>
      </c>
      <c r="E43">
        <v>0</v>
      </c>
      <c r="F43">
        <v>0.916362289558234</v>
      </c>
      <c r="G43">
        <v>0.90198893154697</v>
      </c>
      <c r="H43">
        <v>0</v>
      </c>
      <c r="I43">
        <v>0</v>
      </c>
      <c r="J43">
        <v>0.980052245432201</v>
      </c>
      <c r="K43">
        <v>0.840358267393537</v>
      </c>
      <c r="L43">
        <v>0.962096899256406</v>
      </c>
      <c r="M43">
        <v>0.964092246051253</v>
      </c>
      <c r="N43">
        <v>0.966087329928129</v>
      </c>
      <c r="O43">
        <v>0.970230153146628</v>
      </c>
      <c r="P43">
        <v>0</v>
      </c>
      <c r="Q43">
        <v>0.964480672787377</v>
      </c>
      <c r="R43">
        <v>0.982843482810056</v>
      </c>
      <c r="S43">
        <v>0.956741264902432</v>
      </c>
      <c r="T43">
        <v>0.914015395499615</v>
      </c>
      <c r="U43">
        <v>0</v>
      </c>
      <c r="V43">
        <v>0.928180379351372</v>
      </c>
      <c r="W43">
        <v>0.860321775654856</v>
      </c>
      <c r="X43">
        <v>0</v>
      </c>
    </row>
    <row r="44" spans="1:24">
      <c r="A44" s="1">
        <v>1310</v>
      </c>
      <c r="B44" s="11">
        <v>38717</v>
      </c>
      <c r="C44">
        <v>0.418341213864274</v>
      </c>
      <c r="D44">
        <v>0.747896601016038</v>
      </c>
      <c r="E44">
        <v>0</v>
      </c>
      <c r="F44">
        <v>0.89526107441744</v>
      </c>
      <c r="G44">
        <v>0.902669418745494</v>
      </c>
      <c r="H44">
        <v>0</v>
      </c>
      <c r="I44">
        <v>0</v>
      </c>
      <c r="J44">
        <v>0.873365014973764</v>
      </c>
      <c r="K44">
        <v>0</v>
      </c>
      <c r="L44">
        <v>0</v>
      </c>
      <c r="M44">
        <v>0</v>
      </c>
      <c r="N44">
        <v>0.966974185518427</v>
      </c>
      <c r="O44">
        <v>0.973779324715113</v>
      </c>
      <c r="P44">
        <v>0</v>
      </c>
      <c r="Q44">
        <v>0.963084768273346</v>
      </c>
      <c r="R44">
        <v>0.983472197122633</v>
      </c>
      <c r="S44">
        <v>0.955707445103407</v>
      </c>
      <c r="T44">
        <v>0.883143194135172</v>
      </c>
      <c r="U44">
        <v>0</v>
      </c>
      <c r="V44">
        <v>0.929983384697287</v>
      </c>
      <c r="W44">
        <v>0.863580111821502</v>
      </c>
      <c r="X44">
        <v>0</v>
      </c>
    </row>
    <row r="45" spans="1:24">
      <c r="A45" s="1">
        <v>1341</v>
      </c>
      <c r="B45" s="11">
        <v>38748</v>
      </c>
      <c r="C45">
        <v>0.756257974597669</v>
      </c>
      <c r="D45">
        <v>0.746209783191633</v>
      </c>
      <c r="E45">
        <v>0</v>
      </c>
      <c r="F45">
        <v>0.8866464380138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0.96547002786493</v>
      </c>
      <c r="O45">
        <v>0.972577199599498</v>
      </c>
      <c r="P45">
        <v>0</v>
      </c>
      <c r="Q45">
        <v>0.961410061539305</v>
      </c>
      <c r="R45">
        <v>0</v>
      </c>
      <c r="S45">
        <v>0.890739116367017</v>
      </c>
      <c r="T45">
        <v>0.878299914840907</v>
      </c>
      <c r="U45">
        <v>0</v>
      </c>
      <c r="V45">
        <v>0.904565635330078</v>
      </c>
      <c r="W45">
        <v>0.858062461963122</v>
      </c>
      <c r="X45">
        <v>0</v>
      </c>
    </row>
    <row r="46" spans="1:24">
      <c r="A46" s="1">
        <v>1369</v>
      </c>
      <c r="B46" s="11">
        <v>38776</v>
      </c>
      <c r="C46">
        <v>0.748969328482898</v>
      </c>
      <c r="D46">
        <v>0.763172902489943</v>
      </c>
      <c r="E46">
        <v>0</v>
      </c>
      <c r="F46">
        <v>0.882386063907346</v>
      </c>
      <c r="G46">
        <v>0.894507360936449</v>
      </c>
      <c r="H46">
        <v>0</v>
      </c>
      <c r="I46">
        <v>0</v>
      </c>
      <c r="J46">
        <v>0.863115257166302</v>
      </c>
      <c r="K46">
        <v>0.831832700432301</v>
      </c>
      <c r="L46">
        <v>0</v>
      </c>
      <c r="M46">
        <v>0.95236508405514</v>
      </c>
      <c r="N46">
        <v>0.792321369716216</v>
      </c>
      <c r="O46">
        <v>0.914738575465642</v>
      </c>
      <c r="P46">
        <v>0</v>
      </c>
      <c r="Q46">
        <v>0.943872092849132</v>
      </c>
      <c r="R46">
        <v>0.898322249855656</v>
      </c>
      <c r="S46">
        <v>0.888173339020475</v>
      </c>
      <c r="T46">
        <v>0.938962661072952</v>
      </c>
      <c r="U46">
        <v>0</v>
      </c>
      <c r="V46">
        <v>0.843381229443807</v>
      </c>
      <c r="W46">
        <v>0.586586102182522</v>
      </c>
      <c r="X46">
        <v>0</v>
      </c>
    </row>
    <row r="47" spans="1:24">
      <c r="A47" s="1">
        <v>1400</v>
      </c>
      <c r="B47" s="11">
        <v>38807</v>
      </c>
      <c r="C47">
        <v>0.765255336897335</v>
      </c>
      <c r="D47">
        <v>0.608183794604851</v>
      </c>
      <c r="E47">
        <v>0</v>
      </c>
      <c r="F47">
        <v>0.886148750262708</v>
      </c>
      <c r="G47">
        <v>0.902575010007765</v>
      </c>
      <c r="H47">
        <v>0</v>
      </c>
      <c r="I47">
        <v>0</v>
      </c>
      <c r="J47">
        <v>0</v>
      </c>
      <c r="K47">
        <v>0.84386352652414</v>
      </c>
      <c r="L47">
        <v>0.921984024815289</v>
      </c>
      <c r="M47">
        <v>0.821197873842287</v>
      </c>
      <c r="N47">
        <v>0.774680143399341</v>
      </c>
      <c r="O47">
        <v>0.741110327984396</v>
      </c>
      <c r="P47">
        <v>0.970394326408613</v>
      </c>
      <c r="Q47">
        <v>0.955410050153858</v>
      </c>
      <c r="R47">
        <v>0.905516186901609</v>
      </c>
      <c r="S47">
        <v>0.914405983393471</v>
      </c>
      <c r="T47">
        <v>0.981045097804031</v>
      </c>
      <c r="U47">
        <v>0</v>
      </c>
      <c r="V47">
        <v>0.877756589105978</v>
      </c>
      <c r="W47">
        <v>0.424126015095784</v>
      </c>
      <c r="X47">
        <v>0</v>
      </c>
    </row>
    <row r="48" spans="1:24">
      <c r="A48" s="1">
        <v>1430</v>
      </c>
      <c r="B48" s="11">
        <v>38837</v>
      </c>
      <c r="C48">
        <v>0</v>
      </c>
      <c r="D48">
        <v>0.710287417907649</v>
      </c>
      <c r="E48">
        <v>0.730949658540922</v>
      </c>
      <c r="F48">
        <v>0.874435465485438</v>
      </c>
      <c r="G48">
        <v>0.897221767650635</v>
      </c>
      <c r="H48">
        <v>0</v>
      </c>
      <c r="I48">
        <v>0</v>
      </c>
      <c r="J48">
        <v>0</v>
      </c>
      <c r="K48">
        <v>0.921057094627997</v>
      </c>
      <c r="L48">
        <v>0.948206634812687</v>
      </c>
      <c r="M48">
        <v>0.850004542415108</v>
      </c>
      <c r="N48">
        <v>0.79400378881476</v>
      </c>
      <c r="O48">
        <v>0.572959043330969</v>
      </c>
      <c r="P48">
        <v>0.96735519830221</v>
      </c>
      <c r="Q48">
        <v>0.96890210127746</v>
      </c>
      <c r="R48">
        <v>0.820104965349836</v>
      </c>
      <c r="S48">
        <v>0.845212218986102</v>
      </c>
      <c r="T48">
        <v>0.982796319891915</v>
      </c>
      <c r="U48">
        <v>0.974209473527955</v>
      </c>
      <c r="V48">
        <v>0.829834539575347</v>
      </c>
      <c r="W48">
        <v>0.371308894854995</v>
      </c>
      <c r="X48">
        <v>0</v>
      </c>
    </row>
    <row r="49" spans="1:24">
      <c r="A49" s="1">
        <v>1461</v>
      </c>
      <c r="B49" s="11">
        <v>38868</v>
      </c>
      <c r="C49">
        <v>0.78842455494953</v>
      </c>
      <c r="D49">
        <v>0.756623964813891</v>
      </c>
      <c r="E49">
        <v>0.714979929795302</v>
      </c>
      <c r="F49">
        <v>0.910664778845094</v>
      </c>
      <c r="G49">
        <v>0.851087143087483</v>
      </c>
      <c r="H49">
        <v>0</v>
      </c>
      <c r="I49">
        <v>0</v>
      </c>
      <c r="J49">
        <v>0.86767013733709</v>
      </c>
      <c r="K49">
        <v>0.922867767338099</v>
      </c>
      <c r="L49">
        <v>0.949406778496393</v>
      </c>
      <c r="M49">
        <v>0.960049085963093</v>
      </c>
      <c r="N49">
        <v>0.79800029580902</v>
      </c>
      <c r="O49">
        <v>0.578968088555417</v>
      </c>
      <c r="P49">
        <v>0.980544904190379</v>
      </c>
      <c r="Q49">
        <v>0.969634652707375</v>
      </c>
      <c r="R49">
        <v>0.822136313058968</v>
      </c>
      <c r="S49">
        <v>0.834174623924683</v>
      </c>
      <c r="T49">
        <v>0.98481786632768</v>
      </c>
      <c r="U49">
        <v>0.979745794485957</v>
      </c>
      <c r="V49">
        <v>0.833278036025905</v>
      </c>
      <c r="W49">
        <v>0.727743213136397</v>
      </c>
      <c r="X49">
        <v>0</v>
      </c>
    </row>
    <row r="50" spans="1:24">
      <c r="A50" s="1">
        <v>1491</v>
      </c>
      <c r="B50" s="11">
        <v>38898</v>
      </c>
      <c r="C50">
        <v>0.772247964538763</v>
      </c>
      <c r="D50">
        <v>0.837205486013681</v>
      </c>
      <c r="E50">
        <v>0.846469508912126</v>
      </c>
      <c r="F50">
        <v>0.867054706441422</v>
      </c>
      <c r="G50">
        <v>0.88532269338156</v>
      </c>
      <c r="H50">
        <v>0</v>
      </c>
      <c r="I50">
        <v>0</v>
      </c>
      <c r="J50">
        <v>0.909860335006496</v>
      </c>
      <c r="K50">
        <v>0.932594825104472</v>
      </c>
      <c r="L50">
        <v>0</v>
      </c>
      <c r="M50">
        <v>0.968464443470344</v>
      </c>
      <c r="N50">
        <v>0</v>
      </c>
      <c r="O50">
        <v>0</v>
      </c>
      <c r="P50">
        <v>0.98106584874715</v>
      </c>
      <c r="Q50">
        <v>0</v>
      </c>
      <c r="R50">
        <v>0.823386690068976</v>
      </c>
      <c r="S50">
        <v>0.801940114607577</v>
      </c>
      <c r="T50">
        <v>0.984221706281186</v>
      </c>
      <c r="U50">
        <v>0.978970514759852</v>
      </c>
      <c r="V50">
        <v>0</v>
      </c>
      <c r="W50">
        <v>0.843307918034495</v>
      </c>
      <c r="X50">
        <v>0</v>
      </c>
    </row>
    <row r="51" spans="1:24">
      <c r="A51" s="1">
        <v>1522</v>
      </c>
      <c r="B51" s="11">
        <v>38929</v>
      </c>
      <c r="C51">
        <v>0.788323927780424</v>
      </c>
      <c r="D51">
        <v>0.876434795535931</v>
      </c>
      <c r="E51">
        <v>0.919547501354942</v>
      </c>
      <c r="F51">
        <v>0.913386557888392</v>
      </c>
      <c r="G51">
        <v>0.928277956656516</v>
      </c>
      <c r="H51">
        <v>0</v>
      </c>
      <c r="I51">
        <v>0</v>
      </c>
      <c r="J51">
        <v>0.912256917850443</v>
      </c>
      <c r="K51">
        <v>0.938349324399694</v>
      </c>
      <c r="L51">
        <v>0.971304436869968</v>
      </c>
      <c r="M51">
        <v>0.99510698848041</v>
      </c>
      <c r="N51">
        <v>0.910253083451498</v>
      </c>
      <c r="O51">
        <v>0</v>
      </c>
      <c r="P51">
        <v>0.981614550955358</v>
      </c>
      <c r="Q51">
        <v>0.905469073580472</v>
      </c>
      <c r="R51">
        <v>0.826933711097442</v>
      </c>
      <c r="S51">
        <v>0.840244836932156</v>
      </c>
      <c r="T51">
        <v>0.985135489904129</v>
      </c>
      <c r="U51">
        <v>0</v>
      </c>
      <c r="V51">
        <v>0</v>
      </c>
      <c r="W51">
        <v>0.84092668425731</v>
      </c>
      <c r="X51">
        <v>0</v>
      </c>
    </row>
    <row r="52" spans="1:24">
      <c r="A52" s="1">
        <v>1553</v>
      </c>
      <c r="B52" s="11">
        <v>38960</v>
      </c>
      <c r="C52">
        <v>0.784405233052604</v>
      </c>
      <c r="D52">
        <v>0.883291509381238</v>
      </c>
      <c r="E52">
        <v>0.881990635498382</v>
      </c>
      <c r="F52">
        <v>0.899409998631648</v>
      </c>
      <c r="G52">
        <v>0.920962626441196</v>
      </c>
      <c r="H52">
        <v>0</v>
      </c>
      <c r="I52">
        <v>0</v>
      </c>
      <c r="J52">
        <v>0.913845137960348</v>
      </c>
      <c r="K52">
        <v>0.94607172621774</v>
      </c>
      <c r="L52">
        <v>0.973217896390365</v>
      </c>
      <c r="M52">
        <v>0.999825400961255</v>
      </c>
      <c r="N52">
        <v>0.914844990336163</v>
      </c>
      <c r="O52">
        <v>0</v>
      </c>
      <c r="P52">
        <v>0.987175611500185</v>
      </c>
      <c r="Q52">
        <v>0.9073688349824</v>
      </c>
      <c r="R52">
        <v>0.842188876686104</v>
      </c>
      <c r="S52">
        <v>0.856056084024435</v>
      </c>
      <c r="T52">
        <v>0.98206050406002</v>
      </c>
      <c r="U52">
        <v>0.885008762644786</v>
      </c>
      <c r="V52">
        <v>0</v>
      </c>
      <c r="W52">
        <v>0.860645706935421</v>
      </c>
      <c r="X52">
        <v>0</v>
      </c>
    </row>
    <row r="53" spans="1:24">
      <c r="A53" s="1">
        <v>1583</v>
      </c>
      <c r="B53" s="11">
        <v>38990</v>
      </c>
      <c r="C53">
        <v>0.794054350460291</v>
      </c>
      <c r="D53">
        <v>0.886109984938462</v>
      </c>
      <c r="E53">
        <v>0.925534318497821</v>
      </c>
      <c r="F53">
        <v>0.904036845899361</v>
      </c>
      <c r="G53">
        <v>0.911965797349295</v>
      </c>
      <c r="H53">
        <v>0</v>
      </c>
      <c r="I53">
        <v>0</v>
      </c>
      <c r="J53">
        <v>0.863106653555044</v>
      </c>
      <c r="K53">
        <v>0.944623361860056</v>
      </c>
      <c r="L53">
        <v>0.977073498113017</v>
      </c>
      <c r="M53">
        <v>0.993319159130157</v>
      </c>
      <c r="N53">
        <v>0.903148382330459</v>
      </c>
      <c r="O53">
        <v>0.536941964698907</v>
      </c>
      <c r="P53">
        <v>0.991577349021397</v>
      </c>
      <c r="Q53">
        <v>0.90263931845658</v>
      </c>
      <c r="R53">
        <v>0.840770693242653</v>
      </c>
      <c r="S53">
        <v>0.853522510399451</v>
      </c>
      <c r="T53">
        <v>0.981086258073898</v>
      </c>
      <c r="U53">
        <v>0.892620926811102</v>
      </c>
      <c r="V53">
        <v>0</v>
      </c>
      <c r="W53">
        <v>0.863326260508538</v>
      </c>
      <c r="X53">
        <v>0</v>
      </c>
    </row>
    <row r="54" spans="1:24">
      <c r="A54" s="1">
        <v>1614</v>
      </c>
      <c r="B54" s="11">
        <v>39021</v>
      </c>
      <c r="C54">
        <v>0.838475570350578</v>
      </c>
      <c r="D54">
        <v>0.92048621325387</v>
      </c>
      <c r="E54">
        <v>0.916059794869869</v>
      </c>
      <c r="F54">
        <v>0.943661403001892</v>
      </c>
      <c r="G54">
        <v>0.934166527713308</v>
      </c>
      <c r="H54">
        <v>0.604647552013249</v>
      </c>
      <c r="I54">
        <v>0</v>
      </c>
      <c r="J54">
        <v>0.884533221137858</v>
      </c>
      <c r="K54">
        <v>0.949281929383684</v>
      </c>
      <c r="L54">
        <v>0.985504575142959</v>
      </c>
      <c r="M54">
        <v>0.985705752330832</v>
      </c>
      <c r="N54">
        <v>0.926817796504079</v>
      </c>
      <c r="O54">
        <v>0.74478061120642</v>
      </c>
      <c r="P54">
        <v>0.994666983667907</v>
      </c>
      <c r="Q54">
        <v>0.944025451949332</v>
      </c>
      <c r="R54">
        <v>0.873385923201384</v>
      </c>
      <c r="S54">
        <v>0.852742817260973</v>
      </c>
      <c r="T54">
        <v>0.985704023635129</v>
      </c>
      <c r="U54">
        <v>0.919665486761028</v>
      </c>
      <c r="V54">
        <v>0.978285508065427</v>
      </c>
      <c r="W54">
        <v>0.896309190152467</v>
      </c>
      <c r="X54">
        <v>0</v>
      </c>
    </row>
    <row r="55" spans="1:24">
      <c r="A55" s="1">
        <v>1644</v>
      </c>
      <c r="B55" s="11">
        <v>39051</v>
      </c>
      <c r="C55">
        <v>0.790199442747689</v>
      </c>
      <c r="D55">
        <v>0.901540937797186</v>
      </c>
      <c r="E55">
        <v>0.90152500076067</v>
      </c>
      <c r="F55">
        <v>0.941786422005433</v>
      </c>
      <c r="G55">
        <v>0.932411674745529</v>
      </c>
      <c r="H55">
        <v>0.598308839228525</v>
      </c>
      <c r="I55">
        <v>0</v>
      </c>
      <c r="J55">
        <v>0.864929133344904</v>
      </c>
      <c r="K55">
        <v>0.952582124569187</v>
      </c>
      <c r="L55">
        <v>0.986334284194149</v>
      </c>
      <c r="M55">
        <v>0.986947920252498</v>
      </c>
      <c r="N55">
        <v>0.935708473257381</v>
      </c>
      <c r="O55">
        <v>0.871102577258189</v>
      </c>
      <c r="P55">
        <v>0.996307535118114</v>
      </c>
      <c r="Q55">
        <v>0.965871488936169</v>
      </c>
      <c r="R55">
        <v>0.875709810225839</v>
      </c>
      <c r="S55">
        <v>0.861269286676357</v>
      </c>
      <c r="T55">
        <v>0.984668892022284</v>
      </c>
      <c r="U55">
        <v>0.907422715582848</v>
      </c>
      <c r="V55">
        <v>0.967741935483871</v>
      </c>
      <c r="W55">
        <v>0.895612755736303</v>
      </c>
      <c r="X55">
        <v>0</v>
      </c>
    </row>
    <row r="56" spans="1:24">
      <c r="A56" s="1">
        <v>1675</v>
      </c>
      <c r="B56" s="11">
        <v>39082</v>
      </c>
      <c r="C56">
        <v>0.815863605196526</v>
      </c>
      <c r="D56">
        <v>0.91629343210358</v>
      </c>
      <c r="E56">
        <v>0.903505266907193</v>
      </c>
      <c r="F56">
        <v>0.97115583804425</v>
      </c>
      <c r="G56">
        <v>0.925987920176851</v>
      </c>
      <c r="H56">
        <v>0.57461705318762</v>
      </c>
      <c r="I56">
        <v>0</v>
      </c>
      <c r="J56">
        <v>0.851426899294346</v>
      </c>
      <c r="K56">
        <v>0.98136196655874</v>
      </c>
      <c r="L56">
        <v>0.981879562424882</v>
      </c>
      <c r="M56">
        <v>0.976958030437512</v>
      </c>
      <c r="N56">
        <v>0.939542865959538</v>
      </c>
      <c r="O56">
        <v>0.725446351307382</v>
      </c>
      <c r="P56">
        <v>0.989239885995685</v>
      </c>
      <c r="Q56">
        <v>0.967540116045449</v>
      </c>
      <c r="R56">
        <v>0.882904767392459</v>
      </c>
      <c r="S56">
        <v>0.786761662639114</v>
      </c>
      <c r="T56">
        <v>0.97950543123697</v>
      </c>
      <c r="U56">
        <v>0.817313945847585</v>
      </c>
      <c r="V56">
        <v>0.916714893786119</v>
      </c>
      <c r="W56">
        <v>0.963833452221761</v>
      </c>
      <c r="X56">
        <v>0</v>
      </c>
    </row>
    <row r="57" spans="1:24">
      <c r="A57" s="1">
        <v>1706</v>
      </c>
      <c r="B57" s="11">
        <v>39113</v>
      </c>
      <c r="C57">
        <v>0.874160295930949</v>
      </c>
      <c r="D57">
        <v>0.876009646309845</v>
      </c>
      <c r="E57">
        <v>0.884315950797434</v>
      </c>
      <c r="F57">
        <v>0.986631725949458</v>
      </c>
      <c r="G57">
        <v>0.92198552947641</v>
      </c>
      <c r="H57">
        <v>0.560616680802148</v>
      </c>
      <c r="I57">
        <v>0</v>
      </c>
      <c r="J57">
        <v>0.815370194914095</v>
      </c>
      <c r="K57">
        <v>0.977021627856534</v>
      </c>
      <c r="L57">
        <v>0.9701713180004</v>
      </c>
      <c r="M57">
        <v>0.982941003519408</v>
      </c>
      <c r="N57">
        <v>0.940081799234939</v>
      </c>
      <c r="O57">
        <v>0.991459042682432</v>
      </c>
      <c r="P57">
        <v>0.982823131296801</v>
      </c>
      <c r="Q57">
        <v>0.963418584945102</v>
      </c>
      <c r="R57">
        <v>0.788596154609572</v>
      </c>
      <c r="S57">
        <v>0.430364094709299</v>
      </c>
      <c r="T57">
        <v>0.995430481993766</v>
      </c>
      <c r="U57">
        <v>0.811190688815245</v>
      </c>
      <c r="V57">
        <v>0.913095716167125</v>
      </c>
      <c r="W57">
        <v>0.961384126485584</v>
      </c>
      <c r="X57">
        <v>0</v>
      </c>
    </row>
    <row r="58" spans="1:24">
      <c r="A58" s="1">
        <v>1734</v>
      </c>
      <c r="B58" s="11">
        <v>39141</v>
      </c>
      <c r="C58">
        <v>0.888973456003849</v>
      </c>
      <c r="D58">
        <v>0.906052193881842</v>
      </c>
      <c r="E58">
        <v>0.765933785429413</v>
      </c>
      <c r="F58">
        <v>0.952329988476979</v>
      </c>
      <c r="G58">
        <v>0.916525166949666</v>
      </c>
      <c r="H58">
        <v>0.543936955015672</v>
      </c>
      <c r="I58">
        <v>0</v>
      </c>
      <c r="J58">
        <v>0.825331593113541</v>
      </c>
      <c r="K58">
        <v>0.974801463210998</v>
      </c>
      <c r="L58">
        <v>0.969639715573859</v>
      </c>
      <c r="M58">
        <v>0.981314974958562</v>
      </c>
      <c r="N58">
        <v>0.996714332542505</v>
      </c>
      <c r="O58">
        <v>0.990822605756594</v>
      </c>
      <c r="P58">
        <v>0.980698977770039</v>
      </c>
      <c r="Q58">
        <v>0.946530073156531</v>
      </c>
      <c r="R58">
        <v>0.879430130801738</v>
      </c>
      <c r="S58">
        <v>0.420826575556745</v>
      </c>
      <c r="T58">
        <v>0.969485993755034</v>
      </c>
      <c r="U58">
        <v>0.66423443832952</v>
      </c>
      <c r="V58">
        <v>0.907515976487877</v>
      </c>
      <c r="W58">
        <v>0.958557398744792</v>
      </c>
      <c r="X58">
        <v>0</v>
      </c>
    </row>
    <row r="59" spans="1:24">
      <c r="A59" s="1">
        <v>1765</v>
      </c>
      <c r="B59" s="11">
        <v>39172</v>
      </c>
      <c r="C59">
        <v>0.876447871396838</v>
      </c>
      <c r="D59">
        <v>0.863725186672126</v>
      </c>
      <c r="E59">
        <v>0.75310143962415</v>
      </c>
      <c r="F59">
        <v>0.948653387129733</v>
      </c>
      <c r="G59">
        <v>0.918088469842105</v>
      </c>
      <c r="H59">
        <v>0.80591078978888</v>
      </c>
      <c r="I59">
        <v>0</v>
      </c>
      <c r="J59">
        <v>0.801289679388343</v>
      </c>
      <c r="K59">
        <v>0.975625235010704</v>
      </c>
      <c r="L59">
        <v>0.980167212861556</v>
      </c>
      <c r="M59">
        <v>0.998988744671079</v>
      </c>
      <c r="N59">
        <v>1</v>
      </c>
      <c r="O59">
        <v>0.991015332116665</v>
      </c>
      <c r="P59">
        <v>0.98754711893893</v>
      </c>
      <c r="Q59">
        <v>0.947533076583603</v>
      </c>
      <c r="R59">
        <v>0.881556208717305</v>
      </c>
      <c r="S59">
        <v>0.425751862507611</v>
      </c>
      <c r="T59">
        <v>0.984353784220475</v>
      </c>
      <c r="U59">
        <v>0.716041383069207</v>
      </c>
      <c r="V59">
        <v>0.909164508731665</v>
      </c>
      <c r="W59">
        <v>0.959368010102193</v>
      </c>
      <c r="X59">
        <v>0</v>
      </c>
    </row>
    <row r="60" spans="1:24">
      <c r="A60" s="1">
        <v>1795</v>
      </c>
      <c r="B60" s="11">
        <v>39202</v>
      </c>
      <c r="C60">
        <v>0.912626090881026</v>
      </c>
      <c r="D60">
        <v>0.857120160430451</v>
      </c>
      <c r="E60">
        <v>0.800039980373271</v>
      </c>
      <c r="F60">
        <v>0.955512704999604</v>
      </c>
      <c r="G60">
        <v>0.941658715566275</v>
      </c>
      <c r="H60">
        <v>0.958881728593385</v>
      </c>
      <c r="I60">
        <v>0</v>
      </c>
      <c r="J60">
        <v>0.873547821089084</v>
      </c>
      <c r="K60">
        <v>0.966467893981327</v>
      </c>
      <c r="L60">
        <v>0.999452620089383</v>
      </c>
      <c r="M60">
        <v>0.99704331554172</v>
      </c>
      <c r="N60">
        <v>1</v>
      </c>
      <c r="O60">
        <v>0.991297277381814</v>
      </c>
      <c r="P60">
        <v>0.940633195507619</v>
      </c>
      <c r="Q60">
        <v>0.948790884935328</v>
      </c>
      <c r="R60">
        <v>0.864453188001906</v>
      </c>
      <c r="S60">
        <v>0.47937732368335</v>
      </c>
      <c r="T60">
        <v>1</v>
      </c>
      <c r="U60">
        <v>0.76340666071389</v>
      </c>
      <c r="V60">
        <v>0.911592308203653</v>
      </c>
      <c r="W60">
        <v>0.960645262772478</v>
      </c>
      <c r="X60">
        <v>0</v>
      </c>
    </row>
    <row r="61" spans="1:24">
      <c r="A61" s="1">
        <v>1826</v>
      </c>
      <c r="B61" s="11">
        <v>39233</v>
      </c>
      <c r="C61">
        <v>0.79461512877458</v>
      </c>
      <c r="D61">
        <v>0.861035607411541</v>
      </c>
      <c r="E61">
        <v>0.913946330531042</v>
      </c>
      <c r="F61">
        <v>0.967635593726257</v>
      </c>
      <c r="G61">
        <v>0.94651187316012</v>
      </c>
      <c r="H61">
        <v>0.958420581439943</v>
      </c>
      <c r="I61">
        <v>0</v>
      </c>
      <c r="J61">
        <v>0.875524767709459</v>
      </c>
      <c r="K61">
        <v>0.97262302746143</v>
      </c>
      <c r="L61">
        <v>0.998240256250118</v>
      </c>
      <c r="M61">
        <v>0.927788358523941</v>
      </c>
      <c r="N61">
        <v>0.999248559464784</v>
      </c>
      <c r="O61">
        <v>0.973989778916118</v>
      </c>
      <c r="P61">
        <v>0.910061019456907</v>
      </c>
      <c r="Q61">
        <v>0.954503995136629</v>
      </c>
      <c r="R61">
        <v>0.74567061620258</v>
      </c>
      <c r="S61">
        <v>0.554453090442654</v>
      </c>
      <c r="T61">
        <v>1</v>
      </c>
      <c r="U61">
        <v>0.760900391584593</v>
      </c>
      <c r="V61">
        <v>0.836850926325672</v>
      </c>
      <c r="W61">
        <v>0.960108508340934</v>
      </c>
      <c r="X61">
        <v>0</v>
      </c>
    </row>
    <row r="62" spans="1:24">
      <c r="A62" s="1">
        <v>1856</v>
      </c>
      <c r="B62" s="11">
        <v>39263</v>
      </c>
      <c r="C62">
        <v>0.872241652001515</v>
      </c>
      <c r="D62">
        <v>0.912773547277672</v>
      </c>
      <c r="E62">
        <v>0.954398220182363</v>
      </c>
      <c r="F62">
        <v>0.967255761614105</v>
      </c>
      <c r="G62">
        <v>0.949852695061166</v>
      </c>
      <c r="H62">
        <v>0.960802746580978</v>
      </c>
      <c r="I62">
        <v>0</v>
      </c>
      <c r="J62">
        <v>0.868763470172875</v>
      </c>
      <c r="K62">
        <v>0.991713577337501</v>
      </c>
      <c r="L62">
        <v>0.998345013540572</v>
      </c>
      <c r="M62">
        <v>0.911109040247346</v>
      </c>
      <c r="N62">
        <v>0.862745511665343</v>
      </c>
      <c r="O62">
        <v>0.962987917853785</v>
      </c>
      <c r="P62">
        <v>0.914967909818533</v>
      </c>
      <c r="Q62">
        <v>0.938427429822284</v>
      </c>
      <c r="R62">
        <v>0.86486857498278</v>
      </c>
      <c r="S62">
        <v>0.512153649035925</v>
      </c>
      <c r="T62">
        <v>0.994760906114635</v>
      </c>
      <c r="U62">
        <v>0.765441963250516</v>
      </c>
      <c r="V62">
        <v>0.532190633739666</v>
      </c>
      <c r="W62">
        <v>0</v>
      </c>
      <c r="X62">
        <v>0</v>
      </c>
    </row>
    <row r="63" spans="1:24">
      <c r="A63" s="1">
        <v>1887</v>
      </c>
      <c r="B63" s="11">
        <v>39294</v>
      </c>
      <c r="C63">
        <v>0.858025643002133</v>
      </c>
      <c r="D63">
        <v>0.899341608606903</v>
      </c>
      <c r="E63">
        <v>0.835597093550406</v>
      </c>
      <c r="F63">
        <v>0.968311868574292</v>
      </c>
      <c r="G63">
        <v>0.944494306618281</v>
      </c>
      <c r="H63">
        <v>0.958143334177387</v>
      </c>
      <c r="I63">
        <v>0</v>
      </c>
      <c r="J63">
        <v>0.818814399303561</v>
      </c>
      <c r="K63">
        <v>0.982212401860915</v>
      </c>
      <c r="L63">
        <v>0.998248194602706</v>
      </c>
      <c r="M63">
        <v>0.906706269101993</v>
      </c>
      <c r="N63">
        <v>0.858339485150361</v>
      </c>
      <c r="O63">
        <v>0.958089659624662</v>
      </c>
      <c r="P63">
        <v>0.969285218845039</v>
      </c>
      <c r="Q63">
        <v>0.893371144109803</v>
      </c>
      <c r="R63">
        <v>0</v>
      </c>
      <c r="S63">
        <v>0.459194566922013</v>
      </c>
      <c r="T63">
        <v>0.982219259816462</v>
      </c>
      <c r="U63">
        <v>0.74359697056001</v>
      </c>
      <c r="V63">
        <v>0</v>
      </c>
      <c r="W63">
        <v>0</v>
      </c>
      <c r="X63">
        <v>0</v>
      </c>
    </row>
    <row r="64" spans="1:24">
      <c r="A64" s="1">
        <v>1918</v>
      </c>
      <c r="B64" s="11">
        <v>39325</v>
      </c>
      <c r="C64">
        <v>0.778524118438303</v>
      </c>
      <c r="D64">
        <v>0.873668481927921</v>
      </c>
      <c r="E64">
        <v>0.746581886680121</v>
      </c>
      <c r="F64">
        <v>0.958189296545948</v>
      </c>
      <c r="G64">
        <v>0.936794947066795</v>
      </c>
      <c r="H64">
        <v>0.955304086684534</v>
      </c>
      <c r="I64">
        <v>0</v>
      </c>
      <c r="J64">
        <v>0.828096682078983</v>
      </c>
      <c r="K64">
        <v>0.98483726819831</v>
      </c>
      <c r="L64">
        <v>0</v>
      </c>
      <c r="M64">
        <v>0</v>
      </c>
      <c r="N64">
        <v>0.853702718363987</v>
      </c>
      <c r="O64">
        <v>0.955304129733254</v>
      </c>
      <c r="P64">
        <v>0.99145692369398</v>
      </c>
      <c r="Q64">
        <v>0.881736172729962</v>
      </c>
      <c r="R64">
        <v>0</v>
      </c>
      <c r="S64">
        <v>0.451145859098584</v>
      </c>
      <c r="T64">
        <v>0.975931055260677</v>
      </c>
      <c r="U64">
        <v>0.739883851420846</v>
      </c>
      <c r="V64">
        <v>0.509381427884441</v>
      </c>
      <c r="W64">
        <v>0.948894129556385</v>
      </c>
      <c r="X64">
        <v>0</v>
      </c>
    </row>
    <row r="65" spans="1:24">
      <c r="A65" s="1">
        <v>1948</v>
      </c>
      <c r="B65" s="11">
        <v>39355</v>
      </c>
      <c r="C65">
        <v>0.817222759740757</v>
      </c>
      <c r="D65">
        <v>0.947889496822316</v>
      </c>
      <c r="E65">
        <v>0.701196104401115</v>
      </c>
      <c r="F65">
        <v>0.954921211000338</v>
      </c>
      <c r="G65">
        <v>0.940546634161504</v>
      </c>
      <c r="H65">
        <v>0.957670516179476</v>
      </c>
      <c r="I65">
        <v>0</v>
      </c>
      <c r="J65">
        <v>0.795223265336351</v>
      </c>
      <c r="K65">
        <v>0.9980099114335</v>
      </c>
      <c r="L65">
        <v>0.998293605032753</v>
      </c>
      <c r="M65">
        <v>0</v>
      </c>
      <c r="N65">
        <v>0.86094554143274</v>
      </c>
      <c r="O65">
        <v>0.95767037103413</v>
      </c>
      <c r="P65">
        <v>0.991925379592629</v>
      </c>
      <c r="Q65">
        <v>0.887539206265751</v>
      </c>
      <c r="R65">
        <v>0</v>
      </c>
      <c r="S65">
        <v>0.408173942448078</v>
      </c>
      <c r="T65">
        <v>0.977226566459217</v>
      </c>
      <c r="U65">
        <v>0.750679256644744</v>
      </c>
      <c r="V65">
        <v>0.47221813500092</v>
      </c>
      <c r="W65">
        <v>0.919158225139646</v>
      </c>
      <c r="X65">
        <v>0</v>
      </c>
    </row>
    <row r="66" spans="1:24">
      <c r="A66" s="1">
        <v>1979</v>
      </c>
      <c r="B66" s="11">
        <v>39386</v>
      </c>
      <c r="C66">
        <v>0.811136779453752</v>
      </c>
      <c r="D66">
        <v>0.909220949481707</v>
      </c>
      <c r="E66">
        <v>0.881162016636153</v>
      </c>
      <c r="F66">
        <v>0.971459139336503</v>
      </c>
      <c r="G66">
        <v>0.938292916984823</v>
      </c>
      <c r="H66">
        <v>0.956035783734604</v>
      </c>
      <c r="I66">
        <v>0</v>
      </c>
      <c r="J66">
        <v>0.798729374486439</v>
      </c>
      <c r="K66">
        <v>0</v>
      </c>
      <c r="L66">
        <v>0.998252086799365</v>
      </c>
      <c r="M66">
        <v>0</v>
      </c>
      <c r="N66">
        <v>0.855883237054034</v>
      </c>
      <c r="O66">
        <v>0.956035420991869</v>
      </c>
      <c r="P66">
        <v>0.991601975707203</v>
      </c>
      <c r="Q66">
        <v>0.883524731482984</v>
      </c>
      <c r="R66">
        <v>0</v>
      </c>
      <c r="S66">
        <v>0.300592439634457</v>
      </c>
      <c r="T66">
        <v>0.976327411520135</v>
      </c>
      <c r="U66">
        <v>0.743193537769977</v>
      </c>
      <c r="V66">
        <v>0.223012118449937</v>
      </c>
      <c r="W66">
        <v>0.916166212636886</v>
      </c>
      <c r="X66">
        <v>0</v>
      </c>
    </row>
    <row r="67" spans="1:24">
      <c r="A67" s="1">
        <v>2009</v>
      </c>
      <c r="B67" s="11">
        <v>39416</v>
      </c>
      <c r="C67">
        <v>0.802185386511598</v>
      </c>
      <c r="D67">
        <v>0.899348928032139</v>
      </c>
      <c r="E67">
        <v>0.887670873105854</v>
      </c>
      <c r="F67">
        <v>0.971362649707822</v>
      </c>
      <c r="G67">
        <v>0.935330335966012</v>
      </c>
      <c r="H67">
        <v>0.953884523679857</v>
      </c>
      <c r="I67">
        <v>0</v>
      </c>
      <c r="J67">
        <v>0.820174933278393</v>
      </c>
      <c r="K67">
        <v>0.982183042497194</v>
      </c>
      <c r="L67">
        <v>0.998162583214352</v>
      </c>
      <c r="M67">
        <v>0</v>
      </c>
      <c r="N67">
        <v>0.849864237459341</v>
      </c>
      <c r="O67">
        <v>0.953884410957446</v>
      </c>
      <c r="P67">
        <v>0.991174925589228</v>
      </c>
      <c r="Q67">
        <v>0.878783593344377</v>
      </c>
      <c r="R67">
        <v>0</v>
      </c>
      <c r="S67">
        <v>0.290181545893919</v>
      </c>
      <c r="T67">
        <v>0.954700110321908</v>
      </c>
      <c r="U67">
        <v>0.77185585589897</v>
      </c>
      <c r="V67">
        <v>0.215515016496304</v>
      </c>
      <c r="W67">
        <v>0.912243209492314</v>
      </c>
      <c r="X67">
        <v>0</v>
      </c>
    </row>
    <row r="68" spans="1:24">
      <c r="A68" s="1">
        <v>2040</v>
      </c>
      <c r="B68" s="11">
        <v>39447</v>
      </c>
      <c r="C68">
        <v>0.818361125513696</v>
      </c>
      <c r="D68">
        <v>0.863558236425785</v>
      </c>
      <c r="E68">
        <v>0.862925980936151</v>
      </c>
      <c r="F68">
        <v>0.978370514053087</v>
      </c>
      <c r="G68">
        <v>0.951109361991573</v>
      </c>
      <c r="H68">
        <v>0.951848328509837</v>
      </c>
      <c r="I68">
        <v>0</v>
      </c>
      <c r="J68">
        <v>0.797544912031168</v>
      </c>
      <c r="K68">
        <v>0.97804518788671</v>
      </c>
      <c r="L68">
        <v>0.998077364499698</v>
      </c>
      <c r="M68">
        <v>0</v>
      </c>
      <c r="N68">
        <v>0.843976205287851</v>
      </c>
      <c r="O68">
        <v>0.951844516437268</v>
      </c>
      <c r="P68">
        <v>0.990768662365028</v>
      </c>
      <c r="Q68">
        <v>0.884112255706176</v>
      </c>
      <c r="R68">
        <v>0.943174543205148</v>
      </c>
      <c r="S68">
        <v>0.301662027057105</v>
      </c>
      <c r="T68">
        <v>0.953976642678742</v>
      </c>
      <c r="U68">
        <v>0.765176401912884</v>
      </c>
      <c r="V68">
        <v>0</v>
      </c>
      <c r="W68">
        <v>0.806798245824155</v>
      </c>
      <c r="X68">
        <v>0</v>
      </c>
    </row>
    <row r="69" spans="1:24">
      <c r="A69" s="1">
        <v>2071</v>
      </c>
      <c r="B69" s="11">
        <v>39478</v>
      </c>
      <c r="C69">
        <v>0.859257693313162</v>
      </c>
      <c r="D69">
        <v>0.852820924579155</v>
      </c>
      <c r="E69">
        <v>0.893527658907953</v>
      </c>
      <c r="F69">
        <v>0.971497411343272</v>
      </c>
      <c r="G69">
        <v>0.963767213290932</v>
      </c>
      <c r="H69">
        <v>0.951507751235433</v>
      </c>
      <c r="I69">
        <v>0</v>
      </c>
      <c r="J69">
        <v>0.791306351597365</v>
      </c>
      <c r="K69">
        <v>0.983691426868472</v>
      </c>
      <c r="L69">
        <v>0.998063264027774</v>
      </c>
      <c r="M69">
        <v>0.94351581803127</v>
      </c>
      <c r="N69">
        <v>0.996954329582433</v>
      </c>
      <c r="O69">
        <v>0.704091533831147</v>
      </c>
      <c r="P69">
        <v>0.991520476664807</v>
      </c>
      <c r="Q69">
        <v>0.87450515731018</v>
      </c>
      <c r="R69">
        <v>0.942476068957609</v>
      </c>
      <c r="S69">
        <v>0.301539691851734</v>
      </c>
      <c r="T69">
        <v>0.947284583602967</v>
      </c>
      <c r="U69">
        <v>0.763858657067381</v>
      </c>
      <c r="V69">
        <v>0.215229370985635</v>
      </c>
      <c r="W69">
        <v>0.804613611453237</v>
      </c>
      <c r="X69">
        <v>0</v>
      </c>
    </row>
    <row r="70" spans="1:24">
      <c r="A70" s="1">
        <v>2100</v>
      </c>
      <c r="B70" s="11">
        <v>39507</v>
      </c>
      <c r="C70">
        <v>0.803816562351937</v>
      </c>
      <c r="D70">
        <v>0.896728350260226</v>
      </c>
      <c r="E70">
        <v>0.828797902061041</v>
      </c>
      <c r="F70">
        <v>0.976589218345302</v>
      </c>
      <c r="G70">
        <v>0.963603097515345</v>
      </c>
      <c r="H70">
        <v>0.951382158724847</v>
      </c>
      <c r="I70">
        <v>0</v>
      </c>
      <c r="J70">
        <v>0.814125687511151</v>
      </c>
      <c r="K70">
        <v>0.985914697485323</v>
      </c>
      <c r="L70">
        <v>0.998058002024689</v>
      </c>
      <c r="M70">
        <v>0.941608172748202</v>
      </c>
      <c r="N70">
        <v>1</v>
      </c>
      <c r="O70">
        <v>0.644123403317484</v>
      </c>
      <c r="P70">
        <v>0.981930150990718</v>
      </c>
      <c r="Q70">
        <v>0.863763280260406</v>
      </c>
      <c r="R70">
        <v>0.942615927729587</v>
      </c>
      <c r="S70">
        <v>0.300967045943103</v>
      </c>
      <c r="T70">
        <v>0.951382100106331</v>
      </c>
      <c r="U70">
        <v>0.76335015481945</v>
      </c>
      <c r="V70">
        <v>0.205483063395567</v>
      </c>
      <c r="W70">
        <v>0.814537458358362</v>
      </c>
      <c r="X70">
        <v>0</v>
      </c>
    </row>
    <row r="71" spans="1:24">
      <c r="A71" s="1">
        <v>2131</v>
      </c>
      <c r="B71" s="11">
        <v>39538</v>
      </c>
      <c r="C71">
        <v>0.819317200607658</v>
      </c>
      <c r="D71">
        <v>0.889641471135555</v>
      </c>
      <c r="E71">
        <v>0.824268122262124</v>
      </c>
      <c r="F71">
        <v>0.985013281924166</v>
      </c>
      <c r="G71">
        <v>0</v>
      </c>
      <c r="H71">
        <v>0.955752405144294</v>
      </c>
      <c r="I71">
        <v>0</v>
      </c>
      <c r="J71">
        <v>0.856641912492366</v>
      </c>
      <c r="K71">
        <v>0.988990940522975</v>
      </c>
      <c r="L71">
        <v>0.58035333749803</v>
      </c>
      <c r="M71">
        <v>0.956894840983136</v>
      </c>
      <c r="N71">
        <v>0.992164699643374</v>
      </c>
      <c r="O71">
        <v>0.713053888453571</v>
      </c>
      <c r="P71">
        <v>0.999162225863438</v>
      </c>
      <c r="Q71">
        <v>0.876918904570105</v>
      </c>
      <c r="R71">
        <v>0.947702197666162</v>
      </c>
      <c r="S71">
        <v>0.322136550899692</v>
      </c>
      <c r="T71">
        <v>0.955733854249496</v>
      </c>
      <c r="U71">
        <v>0.813392625260794</v>
      </c>
      <c r="V71">
        <v>0</v>
      </c>
      <c r="W71">
        <v>0</v>
      </c>
      <c r="X71">
        <v>0</v>
      </c>
    </row>
    <row r="72" spans="1:24">
      <c r="A72" s="1">
        <v>2161</v>
      </c>
      <c r="B72" s="11">
        <v>39568</v>
      </c>
      <c r="C72">
        <v>0.854276400944617</v>
      </c>
      <c r="D72">
        <v>0.847517013897943</v>
      </c>
      <c r="E72">
        <v>0.764743418249556</v>
      </c>
      <c r="F72">
        <v>0.993736996918782</v>
      </c>
      <c r="G72">
        <v>0</v>
      </c>
      <c r="H72">
        <v>0.957171729973879</v>
      </c>
      <c r="I72">
        <v>0</v>
      </c>
      <c r="J72">
        <v>0.94011815158716</v>
      </c>
      <c r="K72">
        <v>0.99118562769529</v>
      </c>
      <c r="L72">
        <v>0.634264271749375</v>
      </c>
      <c r="M72">
        <v>0.982595008673858</v>
      </c>
      <c r="N72">
        <v>0.993729962542633</v>
      </c>
      <c r="O72">
        <v>0.811471421851983</v>
      </c>
      <c r="P72">
        <v>1</v>
      </c>
      <c r="Q72">
        <v>0.880613071027591</v>
      </c>
      <c r="R72">
        <v>0</v>
      </c>
      <c r="S72">
        <v>0.329635237868055</v>
      </c>
      <c r="T72">
        <v>0.97914232257548</v>
      </c>
      <c r="U72">
        <v>0.824007690721684</v>
      </c>
      <c r="V72">
        <v>0</v>
      </c>
      <c r="W72">
        <v>0.818984371280793</v>
      </c>
      <c r="X72">
        <v>0</v>
      </c>
    </row>
    <row r="73" spans="1:24">
      <c r="A73" s="1">
        <v>2192</v>
      </c>
      <c r="B73" s="11">
        <v>39599</v>
      </c>
      <c r="C73">
        <v>0.844477352622127</v>
      </c>
      <c r="D73">
        <v>0.886291705129896</v>
      </c>
      <c r="E73">
        <v>0.79884912458609</v>
      </c>
      <c r="F73">
        <v>0.983791269328893</v>
      </c>
      <c r="G73">
        <v>0</v>
      </c>
      <c r="H73">
        <v>0.988037535418996</v>
      </c>
      <c r="I73">
        <v>0</v>
      </c>
      <c r="J73">
        <v>0.931454401446954</v>
      </c>
      <c r="K73">
        <v>0.972662608964055</v>
      </c>
      <c r="L73">
        <v>0.917127400364654</v>
      </c>
      <c r="M73">
        <v>0.986842918935295</v>
      </c>
      <c r="N73">
        <v>1</v>
      </c>
      <c r="O73">
        <v>0.831039325666105</v>
      </c>
      <c r="P73">
        <v>1</v>
      </c>
      <c r="Q73">
        <v>0.917127510106741</v>
      </c>
      <c r="R73">
        <v>0.950531274309134</v>
      </c>
      <c r="S73">
        <v>0.511361255106892</v>
      </c>
      <c r="T73">
        <v>0.98216930913657</v>
      </c>
      <c r="U73">
        <v>0</v>
      </c>
      <c r="V73">
        <v>0</v>
      </c>
      <c r="W73">
        <v>0.655945596934755</v>
      </c>
      <c r="X73">
        <v>0</v>
      </c>
    </row>
    <row r="74" spans="1:24">
      <c r="A74" s="1">
        <v>2222</v>
      </c>
      <c r="B74" s="11">
        <v>39629</v>
      </c>
      <c r="C74">
        <v>0.896821277160118</v>
      </c>
      <c r="D74">
        <v>0.890515154045253</v>
      </c>
      <c r="E74">
        <v>0.83015454243214</v>
      </c>
      <c r="F74">
        <v>0.986309370290715</v>
      </c>
      <c r="G74">
        <v>0.820610601524846</v>
      </c>
      <c r="H74">
        <v>0.997767608323885</v>
      </c>
      <c r="I74">
        <v>0</v>
      </c>
      <c r="J74">
        <v>0.892267390492841</v>
      </c>
      <c r="K74">
        <v>0.974950630407352</v>
      </c>
      <c r="L74">
        <v>0.923687100628495</v>
      </c>
      <c r="M74">
        <v>0.988509065908333</v>
      </c>
      <c r="N74">
        <v>1</v>
      </c>
      <c r="O74">
        <v>0.842891298746571</v>
      </c>
      <c r="P74">
        <v>1</v>
      </c>
      <c r="Q74">
        <v>0.94768002739451</v>
      </c>
      <c r="R74">
        <v>0</v>
      </c>
      <c r="S74">
        <v>0.562091688233405</v>
      </c>
      <c r="T74">
        <v>0.981968842426976</v>
      </c>
      <c r="U74">
        <v>0</v>
      </c>
      <c r="V74">
        <v>0</v>
      </c>
      <c r="W74">
        <v>0.629929422662544</v>
      </c>
      <c r="X74">
        <v>0</v>
      </c>
    </row>
    <row r="75" spans="1:24">
      <c r="A75" s="1">
        <v>2253</v>
      </c>
      <c r="B75" s="11">
        <v>39660</v>
      </c>
      <c r="C75">
        <v>0.886282258979889</v>
      </c>
      <c r="D75">
        <v>0.893681711197465</v>
      </c>
      <c r="E75">
        <v>0.835317285508064</v>
      </c>
      <c r="F75">
        <v>0.978753365687313</v>
      </c>
      <c r="G75">
        <v>0.735637092079181</v>
      </c>
      <c r="H75">
        <v>0.997401302173248</v>
      </c>
      <c r="I75">
        <v>0</v>
      </c>
      <c r="J75">
        <v>0.872352707724501</v>
      </c>
      <c r="K75">
        <v>0.974673138143523</v>
      </c>
      <c r="L75">
        <v>0.912234566233749</v>
      </c>
      <c r="M75">
        <v>0.986203034736105</v>
      </c>
      <c r="N75">
        <v>1</v>
      </c>
      <c r="O75">
        <v>0.81824300700647</v>
      </c>
      <c r="P75">
        <v>1</v>
      </c>
      <c r="Q75">
        <v>0.978430405453178</v>
      </c>
      <c r="R75">
        <v>0</v>
      </c>
      <c r="S75">
        <v>0.523464172974329</v>
      </c>
      <c r="T75">
        <v>0.981367774217077</v>
      </c>
      <c r="U75">
        <v>0</v>
      </c>
      <c r="V75">
        <v>0</v>
      </c>
      <c r="W75">
        <v>0.585986099533755</v>
      </c>
      <c r="X75">
        <v>0</v>
      </c>
    </row>
    <row r="76" spans="1:24">
      <c r="A76" s="1">
        <v>2284</v>
      </c>
      <c r="B76" s="11">
        <v>39691</v>
      </c>
      <c r="C76">
        <v>0.81166336549562</v>
      </c>
      <c r="D76">
        <v>0.873850428610419</v>
      </c>
      <c r="E76">
        <v>0.76501065769537</v>
      </c>
      <c r="F76">
        <v>0.977490297928585</v>
      </c>
      <c r="G76">
        <v>0.717424639268537</v>
      </c>
      <c r="H76">
        <v>0.996751148444853</v>
      </c>
      <c r="I76">
        <v>0</v>
      </c>
      <c r="J76">
        <v>0.766646339741023</v>
      </c>
      <c r="K76">
        <v>0</v>
      </c>
      <c r="L76">
        <v>0.995220756514362</v>
      </c>
      <c r="M76">
        <v>0.990394327224221</v>
      </c>
      <c r="N76">
        <v>1</v>
      </c>
      <c r="O76">
        <v>0.786903106314528</v>
      </c>
      <c r="P76">
        <v>0.999899884939676</v>
      </c>
      <c r="Q76">
        <v>0.952522770606691</v>
      </c>
      <c r="R76">
        <v>0.966527548077564</v>
      </c>
      <c r="S76">
        <v>0.468455649381371</v>
      </c>
      <c r="T76">
        <v>0</v>
      </c>
      <c r="U76">
        <v>1</v>
      </c>
      <c r="V76">
        <v>0</v>
      </c>
      <c r="W76">
        <v>0.531067564712223</v>
      </c>
      <c r="X76">
        <v>0</v>
      </c>
    </row>
    <row r="77" spans="1:24">
      <c r="A77" s="1">
        <v>2314</v>
      </c>
      <c r="B77" s="11">
        <v>39721</v>
      </c>
      <c r="C77">
        <v>0.788715641372898</v>
      </c>
      <c r="D77">
        <v>0.734723316651829</v>
      </c>
      <c r="E77">
        <v>0.874426567256634</v>
      </c>
      <c r="F77">
        <v>0.979270705479615</v>
      </c>
      <c r="G77">
        <v>0.749093282160887</v>
      </c>
      <c r="H77">
        <v>0.996788164325467</v>
      </c>
      <c r="I77">
        <v>0</v>
      </c>
      <c r="J77">
        <v>0.849520656956723</v>
      </c>
      <c r="K77">
        <v>0</v>
      </c>
      <c r="L77">
        <v>0.993531272554337</v>
      </c>
      <c r="M77">
        <v>0.981096837654972</v>
      </c>
      <c r="N77">
        <v>1</v>
      </c>
      <c r="O77">
        <v>0.788824512138769</v>
      </c>
      <c r="P77">
        <v>0.999447517946764</v>
      </c>
      <c r="Q77">
        <v>0.9367499600708</v>
      </c>
      <c r="R77">
        <v>1</v>
      </c>
      <c r="S77">
        <v>0.471318450816387</v>
      </c>
      <c r="T77">
        <v>0.954983914053358</v>
      </c>
      <c r="U77">
        <v>0.795170637688245</v>
      </c>
      <c r="V77">
        <v>0</v>
      </c>
      <c r="W77">
        <v>0.531033965534482</v>
      </c>
      <c r="X77">
        <v>0</v>
      </c>
    </row>
    <row r="78" spans="1:24">
      <c r="A78" s="1">
        <v>2345</v>
      </c>
      <c r="B78" s="11">
        <v>39752</v>
      </c>
      <c r="C78">
        <v>0.857562952389943</v>
      </c>
      <c r="D78">
        <v>0.791171849427169</v>
      </c>
      <c r="E78">
        <v>0</v>
      </c>
      <c r="F78">
        <v>0.9739607146307</v>
      </c>
      <c r="G78">
        <v>0.90643213503054</v>
      </c>
      <c r="H78">
        <v>0.996639518162563</v>
      </c>
      <c r="I78">
        <v>0</v>
      </c>
      <c r="J78">
        <v>0.859688077056956</v>
      </c>
      <c r="K78">
        <v>0.966126794470035</v>
      </c>
      <c r="L78">
        <v>0.990261283527259</v>
      </c>
      <c r="M78">
        <v>0.976070047694441</v>
      </c>
      <c r="N78">
        <v>1</v>
      </c>
      <c r="O78">
        <v>0.767714536230772</v>
      </c>
      <c r="P78">
        <v>0.999439747470898</v>
      </c>
      <c r="Q78">
        <v>0.94463941529454</v>
      </c>
      <c r="R78">
        <v>1</v>
      </c>
      <c r="S78">
        <v>0.46102769321151</v>
      </c>
      <c r="T78">
        <v>0.95372804386094</v>
      </c>
      <c r="U78">
        <v>0.770811636603946</v>
      </c>
      <c r="V78">
        <v>0</v>
      </c>
      <c r="W78">
        <v>0.522430800001762</v>
      </c>
      <c r="X78">
        <v>0</v>
      </c>
    </row>
    <row r="79" spans="1:24">
      <c r="A79" s="1">
        <v>2375</v>
      </c>
      <c r="B79" s="11">
        <v>39782</v>
      </c>
      <c r="C79">
        <v>0.856409682535395</v>
      </c>
      <c r="D79">
        <v>0.746597462514417</v>
      </c>
      <c r="E79">
        <v>0</v>
      </c>
      <c r="F79">
        <v>0.980493700236989</v>
      </c>
      <c r="G79">
        <v>0.875931423259719</v>
      </c>
      <c r="H79">
        <v>0.997343196698891</v>
      </c>
      <c r="I79">
        <v>0</v>
      </c>
      <c r="J79">
        <v>0.910392786304709</v>
      </c>
      <c r="K79">
        <v>0.949939740063243</v>
      </c>
      <c r="L79">
        <v>0.992476919634024</v>
      </c>
      <c r="M79">
        <v>0.980780945753752</v>
      </c>
      <c r="N79">
        <v>1</v>
      </c>
      <c r="O79">
        <v>0.800195544157718</v>
      </c>
      <c r="P79">
        <v>0.999554901888551</v>
      </c>
      <c r="Q79">
        <v>0.956035699521766</v>
      </c>
      <c r="R79">
        <v>0</v>
      </c>
      <c r="S79">
        <v>0.520438296846849</v>
      </c>
      <c r="T79">
        <v>0.963085109163132</v>
      </c>
      <c r="U79">
        <v>0.809780991191805</v>
      </c>
      <c r="V79">
        <v>0</v>
      </c>
      <c r="W79">
        <v>0.580628070183452</v>
      </c>
      <c r="X79">
        <v>0</v>
      </c>
    </row>
    <row r="80" spans="1:24">
      <c r="A80" s="1">
        <v>2406</v>
      </c>
      <c r="B80" s="11">
        <v>39813</v>
      </c>
      <c r="C80">
        <v>0.878111175799257</v>
      </c>
      <c r="D80">
        <v>0.639037787997161</v>
      </c>
      <c r="E80">
        <v>0</v>
      </c>
      <c r="F80">
        <v>0.980770927860063</v>
      </c>
      <c r="G80">
        <v>0.952541344374507</v>
      </c>
      <c r="H80">
        <v>0.995127917425391</v>
      </c>
      <c r="I80">
        <v>0</v>
      </c>
      <c r="J80">
        <v>0.912626478087525</v>
      </c>
      <c r="K80">
        <v>0.974901367698246</v>
      </c>
      <c r="L80">
        <v>0.997410863259468</v>
      </c>
      <c r="M80">
        <v>0.96364741201873</v>
      </c>
      <c r="N80">
        <v>1</v>
      </c>
      <c r="O80">
        <v>0.776827191521958</v>
      </c>
      <c r="P80">
        <v>0.962286194297536</v>
      </c>
      <c r="Q80">
        <v>0.97946323319651</v>
      </c>
      <c r="R80">
        <v>0</v>
      </c>
      <c r="S80">
        <v>0.500638747296391</v>
      </c>
      <c r="T80">
        <v>0.95369366900133</v>
      </c>
      <c r="U80">
        <v>0.797136121259667</v>
      </c>
      <c r="V80">
        <v>0</v>
      </c>
      <c r="W80">
        <v>0.558361355036476</v>
      </c>
      <c r="X80">
        <v>0</v>
      </c>
    </row>
    <row r="81" spans="1:24">
      <c r="A81" s="1">
        <v>2437</v>
      </c>
      <c r="B81" s="11">
        <v>39844</v>
      </c>
      <c r="C81">
        <v>0.934163467446734</v>
      </c>
      <c r="D81">
        <v>0.847650728396284</v>
      </c>
      <c r="E81">
        <v>0</v>
      </c>
      <c r="F81">
        <v>0.959891361348023</v>
      </c>
      <c r="G81">
        <v>0.965183254322696</v>
      </c>
      <c r="H81">
        <v>0.97985465427172</v>
      </c>
      <c r="I81">
        <v>0</v>
      </c>
      <c r="J81">
        <v>0.939618133577547</v>
      </c>
      <c r="K81">
        <v>0.975737979739678</v>
      </c>
      <c r="L81">
        <v>0.982769330894864</v>
      </c>
      <c r="M81">
        <v>0.968007829639789</v>
      </c>
      <c r="N81">
        <v>1</v>
      </c>
      <c r="O81">
        <v>0.773239893907816</v>
      </c>
      <c r="P81">
        <v>0.974832620184351</v>
      </c>
      <c r="Q81">
        <v>0.979405638537065</v>
      </c>
      <c r="R81">
        <v>0</v>
      </c>
      <c r="S81">
        <v>0.498161077548264</v>
      </c>
      <c r="T81">
        <v>0.958321809146831</v>
      </c>
      <c r="U81">
        <v>0.795800128748696</v>
      </c>
      <c r="V81">
        <v>0</v>
      </c>
      <c r="W81">
        <v>0.817479464531791</v>
      </c>
      <c r="X81">
        <v>0</v>
      </c>
    </row>
    <row r="82" spans="1:24">
      <c r="A82" s="1">
        <v>2465</v>
      </c>
      <c r="B82" s="11">
        <v>39872</v>
      </c>
      <c r="C82">
        <v>0.981598631584872</v>
      </c>
      <c r="D82">
        <v>0.927665652104581</v>
      </c>
      <c r="E82">
        <v>0</v>
      </c>
      <c r="F82">
        <v>0.965597226958959</v>
      </c>
      <c r="G82">
        <v>0.693475312382766</v>
      </c>
      <c r="H82">
        <v>0.976691367876897</v>
      </c>
      <c r="I82">
        <v>0</v>
      </c>
      <c r="J82">
        <v>0.948089855487194</v>
      </c>
      <c r="K82">
        <v>0.954427868099588</v>
      </c>
      <c r="L82">
        <v>0.975238536776183</v>
      </c>
      <c r="M82">
        <v>0.975388151301956</v>
      </c>
      <c r="N82">
        <v>1</v>
      </c>
      <c r="O82">
        <v>0.777762200168625</v>
      </c>
      <c r="P82">
        <v>0.973234636857652</v>
      </c>
      <c r="Q82">
        <v>0.975265017667845</v>
      </c>
      <c r="R82">
        <v>0</v>
      </c>
      <c r="S82">
        <v>0.461054959740998</v>
      </c>
      <c r="T82">
        <v>0.964747408816232</v>
      </c>
      <c r="U82">
        <v>0.770389194100886</v>
      </c>
      <c r="V82">
        <v>0</v>
      </c>
      <c r="W82">
        <v>0.946342259150115</v>
      </c>
      <c r="X82">
        <v>0</v>
      </c>
    </row>
    <row r="83" spans="1:24">
      <c r="A83" s="1">
        <v>2496</v>
      </c>
      <c r="B83" s="11">
        <v>39903</v>
      </c>
      <c r="C83">
        <v>0.98157703646917</v>
      </c>
      <c r="D83">
        <v>0.922171798010091</v>
      </c>
      <c r="E83">
        <v>0</v>
      </c>
      <c r="F83">
        <v>0.979737024890827</v>
      </c>
      <c r="G83">
        <v>0.667820755120751</v>
      </c>
      <c r="H83">
        <v>0.974818669878867</v>
      </c>
      <c r="I83">
        <v>0</v>
      </c>
      <c r="J83">
        <v>0.94401770929838</v>
      </c>
      <c r="K83">
        <v>0.964247730491535</v>
      </c>
      <c r="L83">
        <v>0.97488610268887</v>
      </c>
      <c r="M83">
        <v>0.989363083684596</v>
      </c>
      <c r="N83">
        <v>1</v>
      </c>
      <c r="O83">
        <v>0.811354835542264</v>
      </c>
      <c r="P83">
        <v>0.951707481488907</v>
      </c>
      <c r="Q83">
        <v>0.987475298954759</v>
      </c>
      <c r="R83">
        <v>0</v>
      </c>
      <c r="S83">
        <v>0.441374537730585</v>
      </c>
      <c r="T83">
        <v>0.961954375968795</v>
      </c>
      <c r="U83">
        <v>0.756052173932781</v>
      </c>
      <c r="V83">
        <v>0</v>
      </c>
      <c r="W83">
        <v>0.942111122617453</v>
      </c>
      <c r="X83">
        <v>0</v>
      </c>
    </row>
    <row r="84" spans="1:24">
      <c r="A84" s="1">
        <v>2526</v>
      </c>
      <c r="B84" s="11">
        <v>39933</v>
      </c>
      <c r="C84">
        <v>0.972120064909597</v>
      </c>
      <c r="D84">
        <v>0.93368628500905</v>
      </c>
      <c r="E84">
        <v>0</v>
      </c>
      <c r="F84">
        <v>0.976685422196375</v>
      </c>
      <c r="G84">
        <v>0.957109675308251</v>
      </c>
      <c r="H84">
        <v>0.97485044454061</v>
      </c>
      <c r="I84">
        <v>0</v>
      </c>
      <c r="J84">
        <v>0.944083165488667</v>
      </c>
      <c r="K84">
        <v>0.95979292949039</v>
      </c>
      <c r="L84">
        <v>0.997208649243781</v>
      </c>
      <c r="M84">
        <v>0.985584102830951</v>
      </c>
      <c r="N84">
        <v>1</v>
      </c>
      <c r="O84">
        <v>0.800798193501148</v>
      </c>
      <c r="P84">
        <v>0.987034468949683</v>
      </c>
      <c r="Q84">
        <v>0.991632277482697</v>
      </c>
      <c r="R84">
        <v>0</v>
      </c>
      <c r="S84">
        <v>0.441680759613378</v>
      </c>
      <c r="T84">
        <v>0.961999642535186</v>
      </c>
      <c r="U84">
        <v>0.756280761495769</v>
      </c>
      <c r="V84">
        <v>0</v>
      </c>
      <c r="W84">
        <v>0.555161248542935</v>
      </c>
      <c r="X84">
        <v>0</v>
      </c>
    </row>
    <row r="85" spans="1:24">
      <c r="A85" s="1">
        <v>2557</v>
      </c>
      <c r="B85" s="11">
        <v>39964</v>
      </c>
      <c r="C85">
        <v>0.980712297032886</v>
      </c>
      <c r="D85">
        <v>0.930881113067651</v>
      </c>
      <c r="E85">
        <v>0</v>
      </c>
      <c r="F85">
        <v>0.983759357869533</v>
      </c>
      <c r="G85">
        <v>0.959809180489421</v>
      </c>
      <c r="H85">
        <v>0.978402526247855</v>
      </c>
      <c r="I85">
        <v>0</v>
      </c>
      <c r="J85">
        <v>0.951765753559681</v>
      </c>
      <c r="K85">
        <v>0.997084834091921</v>
      </c>
      <c r="L85">
        <v>0.998902158488573</v>
      </c>
      <c r="M85">
        <v>0.976194831935881</v>
      </c>
      <c r="N85">
        <v>1</v>
      </c>
      <c r="O85">
        <v>0.907160716605358</v>
      </c>
      <c r="P85">
        <v>0.995034359472918</v>
      </c>
      <c r="Q85">
        <v>0.951174855187528</v>
      </c>
      <c r="R85">
        <v>0</v>
      </c>
      <c r="S85">
        <v>0.480406681427455</v>
      </c>
      <c r="T85">
        <v>0.973104563286318</v>
      </c>
      <c r="U85">
        <v>0.855276093150888</v>
      </c>
      <c r="V85">
        <v>0</v>
      </c>
      <c r="W85">
        <v>0.374628314486391</v>
      </c>
      <c r="X85">
        <v>0</v>
      </c>
    </row>
    <row r="86" spans="1:24">
      <c r="A86" s="1">
        <v>2587</v>
      </c>
      <c r="B86" s="11">
        <v>39994</v>
      </c>
      <c r="C86">
        <v>0.956325961393464</v>
      </c>
      <c r="D86">
        <v>0.921314539104932</v>
      </c>
      <c r="E86">
        <v>0</v>
      </c>
      <c r="F86">
        <v>0.976030556993789</v>
      </c>
      <c r="G86">
        <v>0.916171504956768</v>
      </c>
      <c r="H86">
        <v>0.978984959007724</v>
      </c>
      <c r="I86">
        <v>0</v>
      </c>
      <c r="J86">
        <v>0.95303190664888</v>
      </c>
      <c r="K86">
        <v>0.998562049119834</v>
      </c>
      <c r="L86">
        <v>0.99621682098097</v>
      </c>
      <c r="M86">
        <v>0.991512154390836</v>
      </c>
      <c r="N86">
        <v>1</v>
      </c>
      <c r="O86">
        <v>0.920421759950697</v>
      </c>
      <c r="P86">
        <v>0.997734115391416</v>
      </c>
      <c r="Q86">
        <v>0.955647922151224</v>
      </c>
      <c r="R86">
        <v>0</v>
      </c>
      <c r="S86">
        <v>0.4873745117256</v>
      </c>
      <c r="T86">
        <v>0.991102045259268</v>
      </c>
      <c r="U86">
        <v>1</v>
      </c>
      <c r="V86">
        <v>0</v>
      </c>
      <c r="W86">
        <v>0.431954768960779</v>
      </c>
      <c r="X86">
        <v>0</v>
      </c>
    </row>
    <row r="87" spans="1:24">
      <c r="A87" s="1">
        <v>2618</v>
      </c>
      <c r="B87" s="11">
        <v>40025</v>
      </c>
      <c r="C87">
        <v>0.955353357442937</v>
      </c>
      <c r="D87">
        <v>0.930221306947518</v>
      </c>
      <c r="E87">
        <v>0</v>
      </c>
      <c r="F87">
        <v>0.980040066028132</v>
      </c>
      <c r="G87">
        <v>0.988516588796146</v>
      </c>
      <c r="H87">
        <v>0.981487948890063</v>
      </c>
      <c r="I87">
        <v>0</v>
      </c>
      <c r="J87">
        <v>0.95849515040321</v>
      </c>
      <c r="K87">
        <v>0.98951299129777</v>
      </c>
      <c r="L87">
        <v>0.995521461136122</v>
      </c>
      <c r="M87">
        <v>0.999111970884516</v>
      </c>
      <c r="N87">
        <v>1</v>
      </c>
      <c r="O87">
        <v>0.929227070817283</v>
      </c>
      <c r="P87">
        <v>0</v>
      </c>
      <c r="Q87">
        <v>0.964322974297366</v>
      </c>
      <c r="R87">
        <v>0</v>
      </c>
      <c r="S87">
        <v>0.51970475578712</v>
      </c>
      <c r="T87">
        <v>0.991109491940508</v>
      </c>
      <c r="U87">
        <v>1</v>
      </c>
      <c r="V87">
        <v>0</v>
      </c>
      <c r="W87">
        <v>0.380110808217968</v>
      </c>
      <c r="X87">
        <v>0</v>
      </c>
    </row>
    <row r="88" spans="1:24">
      <c r="A88" s="1">
        <v>2649</v>
      </c>
      <c r="B88" s="11">
        <v>40056</v>
      </c>
      <c r="C88">
        <v>0.94150679337751</v>
      </c>
      <c r="D88">
        <v>0.936772204824962</v>
      </c>
      <c r="E88">
        <v>0</v>
      </c>
      <c r="F88">
        <v>0.992317434517233</v>
      </c>
      <c r="G88">
        <v>0.97803375454466</v>
      </c>
      <c r="H88">
        <v>0.983312188114839</v>
      </c>
      <c r="I88">
        <v>0</v>
      </c>
      <c r="J88">
        <v>0.962498595588688</v>
      </c>
      <c r="K88">
        <v>0</v>
      </c>
      <c r="L88">
        <v>0.996001582466602</v>
      </c>
      <c r="M88">
        <v>0.99920103121956</v>
      </c>
      <c r="N88">
        <v>1</v>
      </c>
      <c r="O88">
        <v>0.935864676272275</v>
      </c>
      <c r="P88">
        <v>0</v>
      </c>
      <c r="Q88">
        <v>0.967783248931026</v>
      </c>
      <c r="R88">
        <v>0</v>
      </c>
      <c r="S88">
        <v>0.54598467304528</v>
      </c>
      <c r="T88">
        <v>0.991994471564967</v>
      </c>
      <c r="U88">
        <v>1</v>
      </c>
      <c r="V88">
        <v>0</v>
      </c>
      <c r="W88">
        <v>0.44120425132772</v>
      </c>
      <c r="X88">
        <v>0</v>
      </c>
    </row>
    <row r="89" spans="1:24">
      <c r="A89" s="1">
        <v>2679</v>
      </c>
      <c r="B89" s="11">
        <v>40086</v>
      </c>
      <c r="C89">
        <v>0.921773088835349</v>
      </c>
      <c r="D89">
        <v>0.939767185192351</v>
      </c>
      <c r="E89">
        <v>0</v>
      </c>
      <c r="F89">
        <v>0.980312139773226</v>
      </c>
      <c r="G89">
        <v>0.96314091521235</v>
      </c>
      <c r="H89">
        <v>0.984024901958539</v>
      </c>
      <c r="I89">
        <v>0</v>
      </c>
      <c r="J89">
        <v>0.967818410936585</v>
      </c>
      <c r="K89">
        <v>0</v>
      </c>
      <c r="L89">
        <v>0.996247928751604</v>
      </c>
      <c r="M89">
        <v>0.999160899160815</v>
      </c>
      <c r="N89">
        <v>1</v>
      </c>
      <c r="O89">
        <v>0.938477337879573</v>
      </c>
      <c r="P89">
        <v>0</v>
      </c>
      <c r="Q89">
        <v>0.969138296354392</v>
      </c>
      <c r="R89">
        <v>0</v>
      </c>
      <c r="S89">
        <v>0.630248636802421</v>
      </c>
      <c r="T89">
        <v>0.997482549185751</v>
      </c>
      <c r="U89">
        <v>0.915032186369153</v>
      </c>
      <c r="V89">
        <v>0</v>
      </c>
      <c r="W89">
        <v>0</v>
      </c>
      <c r="X89">
        <v>0</v>
      </c>
    </row>
    <row r="90" spans="1:24">
      <c r="A90" s="1">
        <v>2710</v>
      </c>
      <c r="B90" s="11">
        <v>40117</v>
      </c>
      <c r="C90">
        <v>0</v>
      </c>
      <c r="D90">
        <v>0.858583585433993</v>
      </c>
      <c r="E90">
        <v>0</v>
      </c>
      <c r="F90">
        <v>0.964051618928866</v>
      </c>
      <c r="G90">
        <v>0.971168760779224</v>
      </c>
      <c r="H90">
        <v>0.983795309714743</v>
      </c>
      <c r="I90">
        <v>0</v>
      </c>
      <c r="J90">
        <v>0.983913604924807</v>
      </c>
      <c r="K90">
        <v>0</v>
      </c>
      <c r="L90">
        <v>0.999379537897011</v>
      </c>
      <c r="M90">
        <v>0.996895475651282</v>
      </c>
      <c r="N90">
        <v>1</v>
      </c>
      <c r="O90">
        <v>0.937634442748276</v>
      </c>
      <c r="P90">
        <v>0</v>
      </c>
      <c r="Q90">
        <v>0.968701484815131</v>
      </c>
      <c r="R90">
        <v>0</v>
      </c>
      <c r="S90">
        <v>0.666847317655408</v>
      </c>
      <c r="T90">
        <v>0.998448430914776</v>
      </c>
      <c r="U90">
        <v>0.901666218394184</v>
      </c>
      <c r="V90">
        <v>0</v>
      </c>
      <c r="W90">
        <v>0</v>
      </c>
      <c r="X90">
        <v>0</v>
      </c>
    </row>
    <row r="91" spans="1:24">
      <c r="A91" s="1">
        <v>2740</v>
      </c>
      <c r="B91" s="11">
        <v>40147</v>
      </c>
      <c r="C91">
        <v>0</v>
      </c>
      <c r="D91">
        <v>0.881464538286546</v>
      </c>
      <c r="E91">
        <v>0</v>
      </c>
      <c r="F91">
        <v>0.98506156168197</v>
      </c>
      <c r="G91">
        <v>0</v>
      </c>
      <c r="H91">
        <v>0.984246599323438</v>
      </c>
      <c r="I91">
        <v>0</v>
      </c>
      <c r="J91">
        <v>0.959845674232957</v>
      </c>
      <c r="K91">
        <v>0</v>
      </c>
      <c r="L91">
        <v>0.99939708053283</v>
      </c>
      <c r="M91">
        <v>0.996983052958897</v>
      </c>
      <c r="N91">
        <v>1</v>
      </c>
      <c r="O91">
        <v>0.90202012243569</v>
      </c>
      <c r="P91">
        <v>0</v>
      </c>
      <c r="Q91">
        <v>0.969560216242489</v>
      </c>
      <c r="R91">
        <v>0</v>
      </c>
      <c r="S91">
        <v>0.61518775905219</v>
      </c>
      <c r="T91">
        <v>0.998492274587529</v>
      </c>
      <c r="U91">
        <v>0.904182153032408</v>
      </c>
      <c r="V91">
        <v>0</v>
      </c>
      <c r="W91">
        <v>0</v>
      </c>
      <c r="X91">
        <v>0</v>
      </c>
    </row>
    <row r="92" spans="1:24">
      <c r="A92" s="1">
        <v>2771</v>
      </c>
      <c r="B92" s="11">
        <v>40178</v>
      </c>
      <c r="C92">
        <v>0</v>
      </c>
      <c r="D92">
        <v>0.879556494365769</v>
      </c>
      <c r="E92">
        <v>0</v>
      </c>
      <c r="F92">
        <v>0</v>
      </c>
      <c r="G92">
        <v>0</v>
      </c>
      <c r="H92">
        <v>0.983791046434687</v>
      </c>
      <c r="I92">
        <v>0</v>
      </c>
      <c r="J92">
        <v>0.975458133578769</v>
      </c>
      <c r="K92">
        <v>0</v>
      </c>
      <c r="L92">
        <v>0.997827684078992</v>
      </c>
      <c r="M92">
        <v>0.996894658738384</v>
      </c>
      <c r="N92">
        <v>1</v>
      </c>
      <c r="O92">
        <v>0.813533574205846</v>
      </c>
      <c r="P92">
        <v>0</v>
      </c>
      <c r="Q92">
        <v>0.968672616146341</v>
      </c>
      <c r="R92">
        <v>0</v>
      </c>
      <c r="S92">
        <v>0.608307218569819</v>
      </c>
      <c r="T92">
        <v>0.998448026296594</v>
      </c>
      <c r="U92">
        <v>0.901642672947674</v>
      </c>
      <c r="V92">
        <v>0</v>
      </c>
      <c r="W92">
        <v>0</v>
      </c>
      <c r="X92">
        <v>0</v>
      </c>
    </row>
    <row r="93" spans="1:24">
      <c r="A93" s="1">
        <v>2802</v>
      </c>
      <c r="B93" s="11">
        <v>40209</v>
      </c>
      <c r="C93">
        <v>0</v>
      </c>
      <c r="D93">
        <v>0.854890360047632</v>
      </c>
      <c r="E93">
        <v>0</v>
      </c>
      <c r="F93">
        <v>0</v>
      </c>
      <c r="G93">
        <v>0</v>
      </c>
      <c r="H93">
        <v>0.984315521747191</v>
      </c>
      <c r="I93">
        <v>0</v>
      </c>
      <c r="J93">
        <v>0.984862972191627</v>
      </c>
      <c r="K93">
        <v>0</v>
      </c>
      <c r="L93">
        <v>0.994815054932254</v>
      </c>
      <c r="M93">
        <v>0.996996415124712</v>
      </c>
      <c r="N93">
        <v>1</v>
      </c>
      <c r="O93">
        <v>0.818610327860695</v>
      </c>
      <c r="P93">
        <v>0</v>
      </c>
      <c r="Q93">
        <v>0.96971041318023</v>
      </c>
      <c r="R93">
        <v>0</v>
      </c>
      <c r="S93">
        <v>0.616321149915879</v>
      </c>
      <c r="T93">
        <v>0.998499964143139</v>
      </c>
      <c r="U93">
        <v>0.904625214130284</v>
      </c>
      <c r="V93">
        <v>0</v>
      </c>
      <c r="W93">
        <v>0</v>
      </c>
      <c r="X93">
        <v>0</v>
      </c>
    </row>
    <row r="94" spans="1:24">
      <c r="A94" s="1">
        <v>2830</v>
      </c>
      <c r="B94" s="11">
        <v>40237</v>
      </c>
      <c r="C94">
        <v>0.912487858463689</v>
      </c>
      <c r="D94">
        <v>0.714682230608063</v>
      </c>
      <c r="E94">
        <v>0</v>
      </c>
      <c r="F94">
        <v>0</v>
      </c>
      <c r="G94">
        <v>0</v>
      </c>
      <c r="H94">
        <v>0.985649839322577</v>
      </c>
      <c r="I94">
        <v>0</v>
      </c>
      <c r="J94">
        <v>0.986162297459953</v>
      </c>
      <c r="K94">
        <v>0</v>
      </c>
      <c r="L94">
        <v>0.995260457954263</v>
      </c>
      <c r="M94">
        <v>0.997108123460537</v>
      </c>
      <c r="N94">
        <v>1</v>
      </c>
      <c r="O94">
        <v>0.831574802997106</v>
      </c>
      <c r="P94">
        <v>0</v>
      </c>
      <c r="Q94">
        <v>0.971842158033604</v>
      </c>
      <c r="R94">
        <v>0</v>
      </c>
      <c r="S94">
        <v>0.629325221396182</v>
      </c>
      <c r="T94">
        <v>0.998735438760598</v>
      </c>
      <c r="U94">
        <v>0.912080087426145</v>
      </c>
      <c r="V94">
        <v>0</v>
      </c>
      <c r="W94">
        <v>0</v>
      </c>
      <c r="X94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tabSelected="1" workbookViewId="0">
      <selection activeCell="A36" sqref="$A36:$XFD50"/>
    </sheetView>
  </sheetViews>
  <sheetFormatPr defaultColWidth="9" defaultRowHeight="14.25"/>
  <cols>
    <col min="1" max="1" width="12.2666666666667" customWidth="1"/>
    <col min="2" max="3" width="11.8166666666667" customWidth="1"/>
    <col min="5" max="5" width="12.2666666666667" style="1" customWidth="1"/>
    <col min="6" max="6" width="12.0916666666667" customWidth="1"/>
    <col min="7" max="18" width="10" customWidth="1"/>
    <col min="19" max="19" width="12.2666666666667" customWidth="1"/>
    <col min="20" max="22" width="10" customWidth="1"/>
    <col min="23" max="23" width="12.2666666666667" customWidth="1"/>
    <col min="24" max="27" width="10" customWidth="1"/>
  </cols>
  <sheetData>
    <row r="1" spans="1:3">
      <c r="A1" s="2" t="s">
        <v>35</v>
      </c>
      <c r="B1" s="2" t="s">
        <v>1</v>
      </c>
      <c r="C1" s="2" t="s">
        <v>2</v>
      </c>
    </row>
    <row r="2" spans="1:27">
      <c r="A2" s="3" t="s">
        <v>3</v>
      </c>
      <c r="B2" s="1">
        <v>696303.0963513</v>
      </c>
      <c r="C2" s="1">
        <v>181601.797759</v>
      </c>
      <c r="E2" s="5" t="s">
        <v>36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</row>
    <row r="3" spans="1:27">
      <c r="A3" s="3" t="s">
        <v>4</v>
      </c>
      <c r="B3" s="1">
        <v>696556.701274</v>
      </c>
      <c r="C3" s="1">
        <v>181713.1036978</v>
      </c>
      <c r="E3" s="6" t="s">
        <v>25</v>
      </c>
      <c r="F3" s="7">
        <f>SQRT((VLOOKUP($F$2,$A$1:$C$31,2,FALSE)-VLOOKUP(E3,$A$1:$C$31,2,FALSE))^2+(VLOOKUP($F$2,$A$1:$C$31,3,FALSE)-VLOOKUP(E3,$A$1:$C$31,3,FALSE))^2)</f>
        <v>824.531525449657</v>
      </c>
      <c r="G3" s="7">
        <f>SQRT((VLOOKUP($G$2,$A$1:$C$31,2,FALSE)-VLOOKUP(E3,$A$1:$C$31,2,FALSE))^2+(VLOOKUP($G$2,$A$1:$C$31,3,FALSE)-VLOOKUP(E3,$A$1:$C$31,3,FALSE))^2)</f>
        <v>693.9854941396</v>
      </c>
      <c r="H3" s="7">
        <f>SQRT((VLOOKUP($H$2,$A$1:$C$31,2,FALSE)-VLOOKUP(E3,$A$1:$C$31,2,FALSE))^2+(VLOOKUP($H$2,$A$1:$C$31,3,FALSE)-VLOOKUP(E3,$A$1:$C$31,3,FALSE))^2)</f>
        <v>466.401960192787</v>
      </c>
      <c r="I3" s="7">
        <f>SQRT((VLOOKUP($I$2,$A$1:$C$31,2,FALSE)-VLOOKUP(E3,$A$1:$C$31,2,FALSE))^2+(VLOOKUP($I$2,$A$1:$C$31,3,FALSE)-VLOOKUP(E3,$A$1:$C$31,3,FALSE))^2)</f>
        <v>532.633092462133</v>
      </c>
      <c r="J3" s="7">
        <f>SQRT((VLOOKUP($J$2,$A$1:$C$31,2,FALSE)-VLOOKUP(E3,$A$1:$C$31,2,FALSE))^2+(VLOOKUP($J$2,$A$1:$C$31,3,FALSE)-VLOOKUP(E3,$A$1:$C$31,3,FALSE))^2)</f>
        <v>727.794017581356</v>
      </c>
      <c r="K3" s="7">
        <f>SQRT((VLOOKUP($K$2,$A$1:$C$31,2,FALSE)-VLOOKUP(E3,$A$1:$C$31,2,FALSE))^2+(VLOOKUP($K$2,$A$1:$C$31,3,FALSE)-VLOOKUP(E3,$A$1:$C$31,3,FALSE))^2)</f>
        <v>443.359898499014</v>
      </c>
      <c r="L3" s="7">
        <f>SQRT((VLOOKUP($L$2,$A$1:$C$31,2,FALSE)-VLOOKUP(E3,$A$1:$C$31,2,FALSE))^2+(VLOOKUP($L$2,$A$1:$C$31,3,FALSE)-VLOOKUP(E3,$A$1:$C$31,3,FALSE))^2)</f>
        <v>626.861827641855</v>
      </c>
      <c r="M3" s="7">
        <f>SQRT((VLOOKUP($M$2,$A$1:$C$31,2,FALSE)-VLOOKUP(E3,$A$1:$C$31,2,FALSE))^2+(VLOOKUP($M$2,$A$1:$C$31,3,FALSE)-VLOOKUP(E3,$A$1:$C$31,3,FALSE))^2)</f>
        <v>606.030894362523</v>
      </c>
      <c r="N3" s="7">
        <f>SQRT((VLOOKUP($N$2,$A$1:$C$31,2,FALSE)-VLOOKUP(E3,$A$1:$C$31,2,FALSE))^2+(VLOOKUP($N$2,$A$1:$C$31,3,FALSE)-VLOOKUP(E3,$A$1:$C$31,3,FALSE))^2)</f>
        <v>360.937080149887</v>
      </c>
      <c r="O3" s="7">
        <f>SQRT((VLOOKUP($O$2,$A$1:$C$31,2,FALSE)-VLOOKUP(E3,$A$1:$C$31,2,FALSE))^2+(VLOOKUP($O$2,$A$1:$C$31,3,FALSE)-VLOOKUP(E3,$A$1:$C$31,3,FALSE))^2)</f>
        <v>188.590398375227</v>
      </c>
      <c r="P3" s="7">
        <f>SQRT((VLOOKUP($P$2,$A$1:$C$31,2,FALSE)-VLOOKUP(E3,$A$1:$C$31,2,FALSE))^2+(VLOOKUP($P$2,$A$1:$C$31,3,FALSE)-VLOOKUP(E3,$A$1:$C$31,3,FALSE))^2)</f>
        <v>233.662943724025</v>
      </c>
      <c r="Q3" s="7">
        <f>SQRT((VLOOKUP($Q$2,$A$1:$C$31,2,FALSE)-VLOOKUP(E3,$A$1:$C$31,2,FALSE))^2+(VLOOKUP($Q$2,$A$1:$C$31,3,FALSE)-VLOOKUP(E3,$A$1:$C$31,3,FALSE))^2)</f>
        <v>353.689773626858</v>
      </c>
      <c r="R3" s="7">
        <f>SQRT((VLOOKUP($R$2,$A$1:$C$31,2,FALSE)-VLOOKUP(E3,$A$1:$C$31,2,FALSE))^2+(VLOOKUP($R$2,$A$1:$C$31,3,FALSE)-VLOOKUP(E3,$A$1:$C$31,3,FALSE))^2)</f>
        <v>562.746332587841</v>
      </c>
      <c r="S3" s="7">
        <f>SQRT((VLOOKUP($S$2,$A$1:$C$31,2,FALSE)-VLOOKUP(E3,$A$1:$C$31,2,FALSE))^2+(VLOOKUP($S$2,$A$1:$C$31,3,FALSE)-VLOOKUP(E3,$A$1:$C$31,3,FALSE))^2)</f>
        <v>360.907696288779</v>
      </c>
      <c r="T3" s="7">
        <f>SQRT((VLOOKUP($T$2,$A$1:$C$31,2,FALSE)-VLOOKUP(E3,$A$1:$C$31,2,FALSE))^2+(VLOOKUP($T$2,$A$1:$C$31,3,FALSE)-VLOOKUP(E3,$A$1:$C$31,3,FALSE))^2)</f>
        <v>592.085749515848</v>
      </c>
      <c r="U3" s="7">
        <f>SQRT((VLOOKUP($U$2,$A$1:$C$31,2,FALSE)-VLOOKUP(E3,$A$1:$C$31,2,FALSE))^2+(VLOOKUP($U$2,$A$1:$C$31,3,FALSE)-VLOOKUP(E3,$A$1:$C$31,3,FALSE))^2)</f>
        <v>809.958280626531</v>
      </c>
      <c r="V3" s="7">
        <f>SQRT((VLOOKUP($V$2,$A$1:$C$31,2,FALSE)-VLOOKUP(E3,$A$1:$C$31,2,FALSE))^2+(VLOOKUP($V$2,$A$1:$C$31,3,FALSE)-VLOOKUP(E3,$A$1:$C$31,3,FALSE))^2)</f>
        <v>595.980172790024</v>
      </c>
      <c r="W3" s="7">
        <f>SQRT((VLOOKUP($W$2,$A$1:$C$31,2,FALSE)-VLOOKUP(E3,$A$1:$C$31,2,FALSE))^2+(VLOOKUP($W$2,$A$1:$C$31,3,FALSE)-VLOOKUP(E3,$A$1:$C$31,3,FALSE))^2)</f>
        <v>969.273628432346</v>
      </c>
      <c r="X3" s="7">
        <f>SQRT((VLOOKUP($X$2,$A$1:$C$31,2,FALSE)-VLOOKUP(E3,$A$1:$C$31,2,FALSE))^2+(VLOOKUP($X$2,$A$1:$C$31,3,FALSE)-VLOOKUP(E3,$A$1:$C$31,3,FALSE))^2)</f>
        <v>874.368541046991</v>
      </c>
      <c r="Y3" s="7">
        <f>SQRT((VLOOKUP($Y$2,$A$1:$C$31,2,FALSE)-VLOOKUP(E3,$A$1:$C$31,2,FALSE))^2+(VLOOKUP($Y$2,$A$1:$C$31,3,FALSE)-VLOOKUP(E3,$A$1:$C$31,3,FALSE))^2)</f>
        <v>749.000724236391</v>
      </c>
      <c r="Z3" s="7">
        <f>SQRT((VLOOKUP($Z$2,$A$1:$C$31,2,FALSE)-VLOOKUP(E3,$A$1:$C$31,2,FALSE))^2+(VLOOKUP($Z$2,$A$1:$C$31,3,FALSE)-VLOOKUP(E3,$A$1:$C$31,3,FALSE))^2)</f>
        <v>651.799513308067</v>
      </c>
      <c r="AA3" s="7">
        <f>SQRT((VLOOKUP($AA$2,$A$1:$C$31,2,FALSE)-VLOOKUP(E3,$A$1:$C$31,2,FALSE))^2+(VLOOKUP($AA$2,$A$1:$C$31,3,FALSE)-VLOOKUP(E3,$A$1:$C$31,3,FALSE))^2)</f>
        <v>681.388356114637</v>
      </c>
    </row>
    <row r="4" spans="1:27">
      <c r="A4" s="3" t="s">
        <v>5</v>
      </c>
      <c r="B4" s="1">
        <v>696557.1030186</v>
      </c>
      <c r="C4" s="1">
        <v>181233.1351873</v>
      </c>
      <c r="E4" s="6" t="s">
        <v>26</v>
      </c>
      <c r="F4" s="7">
        <f t="shared" ref="F4:F10" si="0">SQRT((VLOOKUP($F$2,$A$1:$C$31,2,FALSE)-VLOOKUP(E4,$A$1:$C$31,2,FALSE))^2+(VLOOKUP($F$2,$A$1:$C$31,3,FALSE)-VLOOKUP(E4,$A$1:$C$31,3,FALSE))^2)</f>
        <v>752.008584810873</v>
      </c>
      <c r="G4" s="7">
        <f t="shared" ref="G4:G10" si="1">SQRT((VLOOKUP($G$2,$A$1:$C$31,2,FALSE)-VLOOKUP(E4,$A$1:$C$31,2,FALSE))^2+(VLOOKUP($G$2,$A$1:$C$31,3,FALSE)-VLOOKUP(E4,$A$1:$C$31,3,FALSE))^2)</f>
        <v>840.132951326281</v>
      </c>
      <c r="H4" s="7">
        <f t="shared" ref="H4:H10" si="2">SQRT((VLOOKUP($H$2,$A$1:$C$31,2,FALSE)-VLOOKUP(E4,$A$1:$C$31,2,FALSE))^2+(VLOOKUP($H$2,$A$1:$C$31,3,FALSE)-VLOOKUP(E4,$A$1:$C$31,3,FALSE))^2)</f>
        <v>363.084955804571</v>
      </c>
      <c r="I4" s="7">
        <f t="shared" ref="I4:I10" si="3">SQRT((VLOOKUP($I$2,$A$1:$C$31,2,FALSE)-VLOOKUP(E4,$A$1:$C$31,2,FALSE))^2+(VLOOKUP($I$2,$A$1:$C$31,3,FALSE)-VLOOKUP(E4,$A$1:$C$31,3,FALSE))^2)</f>
        <v>1024.21358511996</v>
      </c>
      <c r="J4" s="7">
        <f t="shared" ref="J4:J10" si="4">SQRT((VLOOKUP($J$2,$A$1:$C$31,2,FALSE)-VLOOKUP(E4,$A$1:$C$31,2,FALSE))^2+(VLOOKUP($J$2,$A$1:$C$31,3,FALSE)-VLOOKUP(E4,$A$1:$C$31,3,FALSE))^2)</f>
        <v>212.119491918209</v>
      </c>
      <c r="K4" s="7">
        <f t="shared" ref="K4:K10" si="5">SQRT((VLOOKUP($K$2,$A$1:$C$31,2,FALSE)-VLOOKUP(E4,$A$1:$C$31,2,FALSE))^2+(VLOOKUP($K$2,$A$1:$C$31,3,FALSE)-VLOOKUP(E4,$A$1:$C$31,3,FALSE))^2)</f>
        <v>179.785720379782</v>
      </c>
      <c r="L4" s="7">
        <f t="shared" ref="L4:L10" si="6">SQRT((VLOOKUP($L$2,$A$1:$C$31,2,FALSE)-VLOOKUP(E4,$A$1:$C$31,2,FALSE))^2+(VLOOKUP($L$2,$A$1:$C$31,3,FALSE)-VLOOKUP(E4,$A$1:$C$31,3,FALSE))^2)</f>
        <v>925.737038911306</v>
      </c>
      <c r="M4" s="7">
        <f t="shared" ref="M4:M10" si="7">SQRT((VLOOKUP($M$2,$A$1:$C$31,2,FALSE)-VLOOKUP(E4,$A$1:$C$31,2,FALSE))^2+(VLOOKUP($M$2,$A$1:$C$31,3,FALSE)-VLOOKUP(E4,$A$1:$C$31,3,FALSE))^2)</f>
        <v>688.62834704859</v>
      </c>
      <c r="N4" s="7">
        <f t="shared" ref="N4:N10" si="8">SQRT((VLOOKUP($N$2,$A$1:$C$31,2,FALSE)-VLOOKUP(E4,$A$1:$C$31,2,FALSE))^2+(VLOOKUP($N$2,$A$1:$C$31,3,FALSE)-VLOOKUP(E4,$A$1:$C$31,3,FALSE))^2)</f>
        <v>505.954165716975</v>
      </c>
      <c r="O4" s="7">
        <f t="shared" ref="O4:O10" si="9">SQRT((VLOOKUP($O$2,$A$1:$C$31,2,FALSE)-VLOOKUP(E4,$A$1:$C$31,2,FALSE))^2+(VLOOKUP($O$2,$A$1:$C$31,3,FALSE)-VLOOKUP(E4,$A$1:$C$31,3,FALSE))^2)</f>
        <v>617.085291046843</v>
      </c>
      <c r="P4" s="7">
        <f t="shared" ref="P4:P10" si="10">SQRT((VLOOKUP($P$2,$A$1:$C$31,2,FALSE)-VLOOKUP(E4,$A$1:$C$31,2,FALSE))^2+(VLOOKUP($P$2,$A$1:$C$31,3,FALSE)-VLOOKUP(E4,$A$1:$C$31,3,FALSE))^2)</f>
        <v>455.773229561017</v>
      </c>
      <c r="Q4" s="7">
        <f t="shared" ref="Q4:Q10" si="11">SQRT((VLOOKUP($Q$2,$A$1:$C$31,2,FALSE)-VLOOKUP(E4,$A$1:$C$31,2,FALSE))^2+(VLOOKUP($Q$2,$A$1:$C$31,3,FALSE)-VLOOKUP(E4,$A$1:$C$31,3,FALSE))^2)</f>
        <v>308.408231437739</v>
      </c>
      <c r="R4" s="7">
        <f t="shared" ref="R4:R10" si="12">SQRT((VLOOKUP($R$2,$A$1:$C$31,2,FALSE)-VLOOKUP(E4,$A$1:$C$31,2,FALSE))^2+(VLOOKUP($R$2,$A$1:$C$31,3,FALSE)-VLOOKUP(E4,$A$1:$C$31,3,FALSE))^2)</f>
        <v>742.337839616184</v>
      </c>
      <c r="S4" s="7">
        <f t="shared" ref="S4:S10" si="13">SQRT((VLOOKUP($S$2,$A$1:$C$31,2,FALSE)-VLOOKUP(E4,$A$1:$C$31,2,FALSE))^2+(VLOOKUP($S$2,$A$1:$C$31,3,FALSE)-VLOOKUP(E4,$A$1:$C$31,3,FALSE))^2)</f>
        <v>679.609560827131</v>
      </c>
      <c r="T4" s="7">
        <f t="shared" ref="T4:T10" si="14">SQRT((VLOOKUP($T$2,$A$1:$C$31,2,FALSE)-VLOOKUP(E4,$A$1:$C$31,2,FALSE))^2+(VLOOKUP($T$2,$A$1:$C$31,3,FALSE)-VLOOKUP(E4,$A$1:$C$31,3,FALSE))^2)</f>
        <v>901.406539262495</v>
      </c>
      <c r="U4" s="7">
        <f t="shared" ref="U4:U10" si="15">SQRT((VLOOKUP($U$2,$A$1:$C$31,2,FALSE)-VLOOKUP(E4,$A$1:$C$31,2,FALSE))^2+(VLOOKUP($U$2,$A$1:$C$31,3,FALSE)-VLOOKUP(E4,$A$1:$C$31,3,FALSE))^2)</f>
        <v>650.860417968934</v>
      </c>
      <c r="V4" s="7">
        <f t="shared" ref="V4:V10" si="16">SQRT((VLOOKUP($V$2,$A$1:$C$31,2,FALSE)-VLOOKUP(E4,$A$1:$C$31,2,FALSE))^2+(VLOOKUP($V$2,$A$1:$C$31,3,FALSE)-VLOOKUP(E4,$A$1:$C$31,3,FALSE))^2)</f>
        <v>615.912167049564</v>
      </c>
      <c r="W4" s="7">
        <f t="shared" ref="W4:W10" si="17">SQRT((VLOOKUP($W$2,$A$1:$C$31,2,FALSE)-VLOOKUP(E4,$A$1:$C$31,2,FALSE))^2+(VLOOKUP($W$2,$A$1:$C$31,3,FALSE)-VLOOKUP(E4,$A$1:$C$31,3,FALSE))^2)</f>
        <v>576.064727296646</v>
      </c>
      <c r="X4" s="7">
        <f t="shared" ref="X4:X10" si="18">SQRT((VLOOKUP($X$2,$A$1:$C$31,2,FALSE)-VLOOKUP(E4,$A$1:$C$31,2,FALSE))^2+(VLOOKUP($X$2,$A$1:$C$31,3,FALSE)-VLOOKUP(E4,$A$1:$C$31,3,FALSE))^2)</f>
        <v>434.438609743487</v>
      </c>
      <c r="Y4" s="7">
        <f t="shared" ref="Y4:Y10" si="19">SQRT((VLOOKUP($Y$2,$A$1:$C$31,2,FALSE)-VLOOKUP(E4,$A$1:$C$31,2,FALSE))^2+(VLOOKUP($Y$2,$A$1:$C$31,3,FALSE)-VLOOKUP(E4,$A$1:$C$31,3,FALSE))^2)</f>
        <v>446.240234616587</v>
      </c>
      <c r="Z4" s="7">
        <f t="shared" ref="Z4:Z10" si="20">SQRT((VLOOKUP($Z$2,$A$1:$C$31,2,FALSE)-VLOOKUP(E4,$A$1:$C$31,2,FALSE))^2+(VLOOKUP($Z$2,$A$1:$C$31,3,FALSE)-VLOOKUP(E4,$A$1:$C$31,3,FALSE))^2)</f>
        <v>493.536995067115</v>
      </c>
      <c r="AA4" s="7">
        <f t="shared" ref="AA4:AA10" si="21">SQRT((VLOOKUP($AA$2,$A$1:$C$31,2,FALSE)-VLOOKUP(E4,$A$1:$C$31,2,FALSE))^2+(VLOOKUP($AA$2,$A$1:$C$31,3,FALSE)-VLOOKUP(E4,$A$1:$C$31,3,FALSE))^2)</f>
        <v>1070.18750646825</v>
      </c>
    </row>
    <row r="5" spans="1:27">
      <c r="A5" s="3" t="s">
        <v>6</v>
      </c>
      <c r="B5" s="1">
        <v>697061.3342044</v>
      </c>
      <c r="C5" s="1">
        <v>181729.596466</v>
      </c>
      <c r="E5" s="6" t="s">
        <v>27</v>
      </c>
      <c r="F5" s="7">
        <f t="shared" si="0"/>
        <v>488.877122559799</v>
      </c>
      <c r="G5" s="7">
        <f t="shared" si="1"/>
        <v>603.13100631562</v>
      </c>
      <c r="H5" s="7">
        <f t="shared" si="2"/>
        <v>176.143672645863</v>
      </c>
      <c r="I5" s="7">
        <f t="shared" si="3"/>
        <v>882.633958106588</v>
      </c>
      <c r="J5" s="7">
        <f t="shared" si="4"/>
        <v>160.135588418569</v>
      </c>
      <c r="K5" s="7">
        <f t="shared" si="5"/>
        <v>315.476904545082</v>
      </c>
      <c r="L5" s="7">
        <f t="shared" si="6"/>
        <v>721.352284161904</v>
      </c>
      <c r="M5" s="7">
        <f t="shared" si="7"/>
        <v>452.554348807956</v>
      </c>
      <c r="N5" s="7">
        <f t="shared" si="8"/>
        <v>348.904480803864</v>
      </c>
      <c r="O5" s="7">
        <f t="shared" si="9"/>
        <v>529.023581256109</v>
      </c>
      <c r="P5" s="7">
        <f t="shared" si="10"/>
        <v>385.508088793174</v>
      </c>
      <c r="Q5" s="7">
        <f t="shared" si="11"/>
        <v>259.01027146622</v>
      </c>
      <c r="R5" s="7">
        <f t="shared" si="12"/>
        <v>524.944327929143</v>
      </c>
      <c r="S5" s="7">
        <f t="shared" si="13"/>
        <v>523.651615031394</v>
      </c>
      <c r="T5" s="7">
        <f t="shared" si="14"/>
        <v>702.785391940511</v>
      </c>
      <c r="U5" s="7">
        <f t="shared" si="15"/>
        <v>388.052108091164</v>
      </c>
      <c r="V5" s="7">
        <f t="shared" si="16"/>
        <v>374.629671308881</v>
      </c>
      <c r="W5" s="7">
        <f t="shared" si="17"/>
        <v>381.520157560511</v>
      </c>
      <c r="X5" s="7">
        <f t="shared" si="18"/>
        <v>267.211322037447</v>
      </c>
      <c r="Y5" s="7">
        <f t="shared" si="19"/>
        <v>196.334894058596</v>
      </c>
      <c r="Z5" s="7">
        <f t="shared" si="20"/>
        <v>232.200109011602</v>
      </c>
      <c r="AA5" s="7">
        <f t="shared" si="21"/>
        <v>882.863885672644</v>
      </c>
    </row>
    <row r="6" spans="1:27">
      <c r="A6" s="3" t="s">
        <v>7</v>
      </c>
      <c r="B6" s="1">
        <v>696322.8927502</v>
      </c>
      <c r="C6" s="1">
        <v>180996.8094482</v>
      </c>
      <c r="E6" s="6" t="s">
        <v>28</v>
      </c>
      <c r="F6" s="7">
        <f t="shared" si="0"/>
        <v>402.163033398478</v>
      </c>
      <c r="G6" s="7">
        <f t="shared" si="1"/>
        <v>345.691433982254</v>
      </c>
      <c r="H6" s="7">
        <f t="shared" si="2"/>
        <v>164.013286975619</v>
      </c>
      <c r="I6" s="7">
        <f t="shared" si="3"/>
        <v>552.370194176704</v>
      </c>
      <c r="J6" s="7">
        <f t="shared" si="4"/>
        <v>492.546838877852</v>
      </c>
      <c r="K6" s="7">
        <f t="shared" si="5"/>
        <v>444.226945583468</v>
      </c>
      <c r="L6" s="7">
        <f t="shared" si="6"/>
        <v>405.086838780605</v>
      </c>
      <c r="M6" s="7">
        <f t="shared" si="7"/>
        <v>210.349542015165</v>
      </c>
      <c r="N6" s="7">
        <f t="shared" si="8"/>
        <v>64.7499225173529</v>
      </c>
      <c r="O6" s="7">
        <f t="shared" si="9"/>
        <v>265.940530844823</v>
      </c>
      <c r="P6" s="7">
        <f t="shared" si="10"/>
        <v>216.604565108838</v>
      </c>
      <c r="Q6" s="7">
        <f t="shared" si="11"/>
        <v>253.832523893229</v>
      </c>
      <c r="R6" s="7">
        <f t="shared" si="12"/>
        <v>228.13626267209</v>
      </c>
      <c r="S6" s="7">
        <f t="shared" si="13"/>
        <v>195.466166755255</v>
      </c>
      <c r="T6" s="7">
        <f t="shared" si="14"/>
        <v>381.523069480706</v>
      </c>
      <c r="U6" s="7">
        <f t="shared" si="15"/>
        <v>387.348326394986</v>
      </c>
      <c r="V6" s="7">
        <f t="shared" si="16"/>
        <v>175.638940972659</v>
      </c>
      <c r="W6" s="7">
        <f t="shared" si="17"/>
        <v>597.350902892099</v>
      </c>
      <c r="X6" s="7">
        <f t="shared" si="18"/>
        <v>542.241495632717</v>
      </c>
      <c r="Y6" s="7">
        <f t="shared" si="19"/>
        <v>377.891719393271</v>
      </c>
      <c r="Z6" s="7">
        <f t="shared" si="20"/>
        <v>247.162860450353</v>
      </c>
      <c r="AA6" s="7">
        <f t="shared" si="21"/>
        <v>555.663712677001</v>
      </c>
    </row>
    <row r="7" spans="1:27">
      <c r="A7" s="3" t="s">
        <v>8</v>
      </c>
      <c r="B7" s="1">
        <v>696666.6698676</v>
      </c>
      <c r="C7" s="1">
        <v>180933.5262652</v>
      </c>
      <c r="E7" s="6" t="s">
        <v>29</v>
      </c>
      <c r="F7" s="7">
        <f t="shared" si="0"/>
        <v>606.289323409081</v>
      </c>
      <c r="G7" s="7">
        <f t="shared" si="1"/>
        <v>363.943643423761</v>
      </c>
      <c r="H7" s="7">
        <f t="shared" si="2"/>
        <v>524.460855816735</v>
      </c>
      <c r="I7" s="7">
        <f t="shared" si="3"/>
        <v>186.477706692678</v>
      </c>
      <c r="J7" s="7">
        <f t="shared" si="4"/>
        <v>856.974933717464</v>
      </c>
      <c r="K7" s="7">
        <f t="shared" si="5"/>
        <v>729.864990643929</v>
      </c>
      <c r="L7" s="7">
        <f t="shared" si="6"/>
        <v>211.277393947164</v>
      </c>
      <c r="M7" s="7">
        <f t="shared" si="7"/>
        <v>376.019369979831</v>
      </c>
      <c r="N7" s="7">
        <f t="shared" si="8"/>
        <v>354.622698653103</v>
      </c>
      <c r="O7" s="7">
        <f t="shared" si="9"/>
        <v>280.034662318806</v>
      </c>
      <c r="P7" s="7">
        <f t="shared" si="10"/>
        <v>415.438094064594</v>
      </c>
      <c r="Q7" s="7">
        <f t="shared" si="11"/>
        <v>547.990768626643</v>
      </c>
      <c r="R7" s="7">
        <f t="shared" si="12"/>
        <v>276.60156272161</v>
      </c>
      <c r="S7" s="7">
        <f t="shared" si="13"/>
        <v>176.356951946939</v>
      </c>
      <c r="T7" s="7">
        <f t="shared" si="14"/>
        <v>178.623446669278</v>
      </c>
      <c r="U7" s="7">
        <f t="shared" si="15"/>
        <v>659.985361693017</v>
      </c>
      <c r="V7" s="7">
        <f t="shared" si="16"/>
        <v>426.64943853243</v>
      </c>
      <c r="W7" s="7">
        <f t="shared" si="17"/>
        <v>934.945480442624</v>
      </c>
      <c r="X7" s="7">
        <f t="shared" si="18"/>
        <v>900.751243907036</v>
      </c>
      <c r="Y7" s="7">
        <f t="shared" si="19"/>
        <v>727.744298088319</v>
      </c>
      <c r="Z7" s="7">
        <f t="shared" si="20"/>
        <v>582.770969935917</v>
      </c>
      <c r="AA7" s="7">
        <f t="shared" si="21"/>
        <v>246.375857989375</v>
      </c>
    </row>
    <row r="8" spans="1:27">
      <c r="A8" s="3" t="s">
        <v>9</v>
      </c>
      <c r="B8" s="1">
        <v>696753.1818495</v>
      </c>
      <c r="C8" s="1">
        <v>181764.5997895</v>
      </c>
      <c r="E8" s="6" t="s">
        <v>30</v>
      </c>
      <c r="F8" s="7">
        <f t="shared" si="0"/>
        <v>417.551323454968</v>
      </c>
      <c r="G8" s="7">
        <f t="shared" si="1"/>
        <v>161.603692085091</v>
      </c>
      <c r="H8" s="7">
        <f t="shared" si="2"/>
        <v>625.815331338235</v>
      </c>
      <c r="I8" s="7">
        <f t="shared" si="3"/>
        <v>443.241512307972</v>
      </c>
      <c r="J8" s="7">
        <f t="shared" si="4"/>
        <v>912.52273943693</v>
      </c>
      <c r="K8" s="7">
        <f t="shared" si="5"/>
        <v>920.957900060965</v>
      </c>
      <c r="L8" s="7">
        <f t="shared" si="6"/>
        <v>147.45191333774</v>
      </c>
      <c r="M8" s="7">
        <f t="shared" si="7"/>
        <v>307.529774330892</v>
      </c>
      <c r="N8" s="7">
        <f t="shared" si="8"/>
        <v>514.753660404663</v>
      </c>
      <c r="O8" s="7">
        <f t="shared" si="9"/>
        <v>576.026557200297</v>
      </c>
      <c r="P8" s="7">
        <f t="shared" si="10"/>
        <v>648.561024499606</v>
      </c>
      <c r="Q8" s="7">
        <f t="shared" si="11"/>
        <v>729.074161522681</v>
      </c>
      <c r="R8" s="7">
        <f t="shared" si="12"/>
        <v>249.15711107654</v>
      </c>
      <c r="S8" s="7">
        <f t="shared" si="13"/>
        <v>405.721299662713</v>
      </c>
      <c r="T8" s="7">
        <f t="shared" si="14"/>
        <v>179.871454655803</v>
      </c>
      <c r="U8" s="7">
        <f t="shared" si="15"/>
        <v>525.421112679175</v>
      </c>
      <c r="V8" s="7">
        <f t="shared" si="16"/>
        <v>386.535419981154</v>
      </c>
      <c r="W8" s="7">
        <f t="shared" si="17"/>
        <v>843.157778176803</v>
      </c>
      <c r="X8" s="7">
        <f t="shared" si="18"/>
        <v>866.108994815332</v>
      </c>
      <c r="Y8" s="7">
        <f t="shared" si="19"/>
        <v>691.934643517737</v>
      </c>
      <c r="Z8" s="7">
        <f t="shared" si="20"/>
        <v>554.478124816491</v>
      </c>
      <c r="AA8" s="7">
        <f t="shared" si="21"/>
        <v>260.478119810451</v>
      </c>
    </row>
    <row r="9" spans="1:27">
      <c r="A9" s="3" t="s">
        <v>10</v>
      </c>
      <c r="B9" s="1">
        <v>696537.76</v>
      </c>
      <c r="C9" s="1">
        <v>181562.52</v>
      </c>
      <c r="E9" s="6" t="s">
        <v>31</v>
      </c>
      <c r="F9" s="7">
        <f t="shared" si="0"/>
        <v>289.582572496879</v>
      </c>
      <c r="G9" s="7">
        <f t="shared" si="1"/>
        <v>546.974738518673</v>
      </c>
      <c r="H9" s="7">
        <f t="shared" si="2"/>
        <v>445.446220304737</v>
      </c>
      <c r="I9" s="7">
        <f t="shared" si="3"/>
        <v>996.809742164167</v>
      </c>
      <c r="J9" s="7">
        <f t="shared" si="4"/>
        <v>416.993271952425</v>
      </c>
      <c r="K9" s="7">
        <f t="shared" si="5"/>
        <v>688.426556859117</v>
      </c>
      <c r="L9" s="7">
        <f t="shared" si="6"/>
        <v>736.679055794351</v>
      </c>
      <c r="M9" s="7">
        <f t="shared" si="7"/>
        <v>449.612662188253</v>
      </c>
      <c r="N9" s="7">
        <f t="shared" si="8"/>
        <v>559.236707128587</v>
      </c>
      <c r="O9" s="7">
        <f t="shared" si="9"/>
        <v>767.980807637842</v>
      </c>
      <c r="P9" s="7">
        <f t="shared" si="10"/>
        <v>672.998938632102</v>
      </c>
      <c r="Q9" s="7">
        <f t="shared" si="11"/>
        <v>594.870036310457</v>
      </c>
      <c r="R9" s="7">
        <f t="shared" si="12"/>
        <v>553.772021051968</v>
      </c>
      <c r="S9" s="7">
        <f t="shared" si="13"/>
        <v>677.746128945045</v>
      </c>
      <c r="T9" s="7">
        <f t="shared" si="14"/>
        <v>735.224141673808</v>
      </c>
      <c r="U9" s="7">
        <f t="shared" si="15"/>
        <v>174.688722214691</v>
      </c>
      <c r="V9" s="7">
        <f t="shared" si="16"/>
        <v>390.4465264284</v>
      </c>
      <c r="W9" s="7">
        <f t="shared" si="17"/>
        <v>146.759156443474</v>
      </c>
      <c r="X9" s="7">
        <f t="shared" si="18"/>
        <v>231.462502362682</v>
      </c>
      <c r="Y9" s="7">
        <f t="shared" si="19"/>
        <v>177.69437244887</v>
      </c>
      <c r="Z9" s="7">
        <f t="shared" si="20"/>
        <v>257.726385921193</v>
      </c>
      <c r="AA9" s="7">
        <f t="shared" si="21"/>
        <v>912.760806564355</v>
      </c>
    </row>
    <row r="10" spans="1:27">
      <c r="A10" s="3" t="s">
        <v>11</v>
      </c>
      <c r="B10" s="1">
        <v>696691.15</v>
      </c>
      <c r="C10" s="1">
        <v>181342.19</v>
      </c>
      <c r="E10" s="6" t="s">
        <v>32</v>
      </c>
      <c r="F10" s="7">
        <f t="shared" si="0"/>
        <v>72.5262329078241</v>
      </c>
      <c r="G10" s="7">
        <f t="shared" si="1"/>
        <v>212.234593141874</v>
      </c>
      <c r="H10" s="7">
        <f t="shared" si="2"/>
        <v>411.460779825727</v>
      </c>
      <c r="I10" s="7">
        <f t="shared" si="3"/>
        <v>697.409755631106</v>
      </c>
      <c r="J10" s="7">
        <f t="shared" si="4"/>
        <v>607.891594950905</v>
      </c>
      <c r="K10" s="7">
        <f t="shared" si="5"/>
        <v>729.462456957154</v>
      </c>
      <c r="L10" s="7">
        <f t="shared" si="6"/>
        <v>410.923932152844</v>
      </c>
      <c r="M10" s="7">
        <f t="shared" si="7"/>
        <v>166.974823551354</v>
      </c>
      <c r="N10" s="7">
        <f t="shared" si="8"/>
        <v>408.990989265067</v>
      </c>
      <c r="O10" s="7">
        <f t="shared" si="9"/>
        <v>585.489994619944</v>
      </c>
      <c r="P10" s="7">
        <f t="shared" si="10"/>
        <v>561.147202167103</v>
      </c>
      <c r="Q10" s="7">
        <f t="shared" si="11"/>
        <v>563.205681967087</v>
      </c>
      <c r="R10" s="7">
        <f t="shared" si="12"/>
        <v>257.371377584985</v>
      </c>
      <c r="S10" s="7">
        <f t="shared" si="13"/>
        <v>441.19407452957</v>
      </c>
      <c r="T10" s="7">
        <f t="shared" si="14"/>
        <v>415.769991461616</v>
      </c>
      <c r="U10" s="7">
        <f t="shared" si="15"/>
        <v>163.586380267433</v>
      </c>
      <c r="V10" s="7">
        <f t="shared" si="16"/>
        <v>169.227221510022</v>
      </c>
      <c r="W10" s="7">
        <f t="shared" si="17"/>
        <v>481.705881736987</v>
      </c>
      <c r="X10" s="7">
        <f t="shared" si="18"/>
        <v>517.21451304077</v>
      </c>
      <c r="Y10" s="7">
        <f t="shared" si="19"/>
        <v>353.72770954507</v>
      </c>
      <c r="Z10" s="7">
        <f t="shared" si="20"/>
        <v>245.830942926235</v>
      </c>
      <c r="AA10" s="7">
        <f t="shared" si="21"/>
        <v>584.237445307987</v>
      </c>
    </row>
    <row r="11" spans="1:27">
      <c r="A11" s="3" t="s">
        <v>12</v>
      </c>
      <c r="B11" s="1">
        <v>696900.05</v>
      </c>
      <c r="C11" s="1">
        <v>181342.08</v>
      </c>
      <c r="E11" s="8" t="s">
        <v>37</v>
      </c>
      <c r="F11" s="9">
        <f>AVERAGE(F3:F10)</f>
        <v>481.691214810945</v>
      </c>
      <c r="G11" s="9">
        <f t="shared" ref="G11:AA11" si="22">AVERAGE(G3:G10)</f>
        <v>470.962194116644</v>
      </c>
      <c r="H11" s="9">
        <f t="shared" si="22"/>
        <v>397.103382863034</v>
      </c>
      <c r="I11" s="9">
        <f t="shared" si="22"/>
        <v>664.473693332664</v>
      </c>
      <c r="J11" s="9">
        <f t="shared" si="22"/>
        <v>548.372309606714</v>
      </c>
      <c r="K11" s="9">
        <f t="shared" si="22"/>
        <v>556.445171691064</v>
      </c>
      <c r="L11" s="9">
        <f t="shared" si="22"/>
        <v>523.171285590971</v>
      </c>
      <c r="M11" s="9">
        <f t="shared" si="22"/>
        <v>407.21247028557</v>
      </c>
      <c r="N11" s="9">
        <f t="shared" si="22"/>
        <v>389.768713079937</v>
      </c>
      <c r="O11" s="9">
        <f t="shared" si="22"/>
        <v>476.271477912486</v>
      </c>
      <c r="P11" s="9">
        <f t="shared" si="22"/>
        <v>448.711760818807</v>
      </c>
      <c r="Q11" s="9">
        <f t="shared" si="22"/>
        <v>451.260181106364</v>
      </c>
      <c r="R11" s="9">
        <f t="shared" si="22"/>
        <v>424.383354405045</v>
      </c>
      <c r="S11" s="9">
        <f t="shared" si="22"/>
        <v>432.581686748353</v>
      </c>
      <c r="T11" s="9">
        <f t="shared" si="22"/>
        <v>510.911223082508</v>
      </c>
      <c r="U11" s="9">
        <f t="shared" si="22"/>
        <v>469.987588741991</v>
      </c>
      <c r="V11" s="9">
        <f t="shared" si="22"/>
        <v>391.877444821642</v>
      </c>
      <c r="W11" s="9">
        <f t="shared" si="22"/>
        <v>616.347214122686</v>
      </c>
      <c r="X11" s="9">
        <f t="shared" si="22"/>
        <v>579.224652823308</v>
      </c>
      <c r="Y11" s="9">
        <f t="shared" si="22"/>
        <v>465.071074488105</v>
      </c>
      <c r="Z11" s="9">
        <f t="shared" si="22"/>
        <v>408.188237679622</v>
      </c>
      <c r="AA11" s="9">
        <f t="shared" si="22"/>
        <v>649.244461325588</v>
      </c>
    </row>
    <row r="12" spans="1:3">
      <c r="A12" s="3" t="s">
        <v>13</v>
      </c>
      <c r="B12" s="1">
        <v>696789.95</v>
      </c>
      <c r="C12" s="1">
        <v>181223.97</v>
      </c>
    </row>
    <row r="13" spans="1:14">
      <c r="A13" s="3" t="s">
        <v>14</v>
      </c>
      <c r="B13" s="1">
        <v>696676.01</v>
      </c>
      <c r="C13" s="1">
        <v>181126</v>
      </c>
      <c r="E13" s="5" t="s">
        <v>36</v>
      </c>
      <c r="F13" s="6" t="s">
        <v>25</v>
      </c>
      <c r="G13" s="6" t="s">
        <v>26</v>
      </c>
      <c r="H13" s="6" t="s">
        <v>27</v>
      </c>
      <c r="I13" s="6" t="s">
        <v>28</v>
      </c>
      <c r="J13" s="6" t="s">
        <v>29</v>
      </c>
      <c r="K13" s="6" t="s">
        <v>30</v>
      </c>
      <c r="L13" s="6" t="s">
        <v>31</v>
      </c>
      <c r="M13" s="6" t="s">
        <v>32</v>
      </c>
      <c r="N13" s="8" t="s">
        <v>37</v>
      </c>
    </row>
    <row r="14" spans="1:14">
      <c r="A14" s="3" t="s">
        <v>15</v>
      </c>
      <c r="B14" s="1">
        <v>696632.98</v>
      </c>
      <c r="C14" s="1">
        <v>181604.83</v>
      </c>
      <c r="E14" s="10" t="s">
        <v>3</v>
      </c>
      <c r="F14" s="7">
        <f t="shared" ref="F14:M14" si="23">SQRT((VLOOKUP($E$14,$A$1:$C$31,2,FALSE)-VLOOKUP(F13,$A$1:$C$31,2,FALSE))^2+(VLOOKUP($E$14,$A$1:$C$31,3,FALSE)-VLOOKUP(F13,$A$1:$C$31,3,FALSE))^2)</f>
        <v>824.531525449657</v>
      </c>
      <c r="G14" s="7">
        <f t="shared" si="23"/>
        <v>752.008584810873</v>
      </c>
      <c r="H14" s="7">
        <f t="shared" si="23"/>
        <v>488.877122559799</v>
      </c>
      <c r="I14" s="7">
        <f t="shared" si="23"/>
        <v>402.163033398478</v>
      </c>
      <c r="J14" s="7">
        <f t="shared" si="23"/>
        <v>606.289323409081</v>
      </c>
      <c r="K14" s="7">
        <f t="shared" si="23"/>
        <v>417.551323454968</v>
      </c>
      <c r="L14" s="7">
        <f t="shared" si="23"/>
        <v>289.582572496879</v>
      </c>
      <c r="M14" s="7">
        <f t="shared" si="23"/>
        <v>72.5262329078241</v>
      </c>
      <c r="N14" s="9">
        <f t="shared" ref="N14:N35" si="24">AVERAGE(F14:M14)</f>
        <v>481.691214810945</v>
      </c>
    </row>
    <row r="15" spans="1:14">
      <c r="A15" s="3" t="s">
        <v>16</v>
      </c>
      <c r="B15" s="1">
        <v>696800.37</v>
      </c>
      <c r="C15" s="1">
        <v>181483.08</v>
      </c>
      <c r="E15" s="10" t="s">
        <v>4</v>
      </c>
      <c r="F15" s="7">
        <f t="shared" ref="F15:M15" si="25">SQRT((VLOOKUP($E$15,$A$1:$C$31,2,FALSE)-VLOOKUP(F13,$A$1:$C$31,2,FALSE))^2+(VLOOKUP($E$15,$A$1:$C$31,3,FALSE)-VLOOKUP(F13,$A$1:$C$31,3,FALSE))^2)</f>
        <v>693.9854941396</v>
      </c>
      <c r="G15" s="7">
        <f t="shared" si="25"/>
        <v>840.132951326281</v>
      </c>
      <c r="H15" s="7">
        <f t="shared" si="25"/>
        <v>603.13100631562</v>
      </c>
      <c r="I15" s="7">
        <f t="shared" si="25"/>
        <v>345.691433982254</v>
      </c>
      <c r="J15" s="7">
        <f t="shared" si="25"/>
        <v>363.943643423761</v>
      </c>
      <c r="K15" s="7">
        <f t="shared" si="25"/>
        <v>161.603692085091</v>
      </c>
      <c r="L15" s="7">
        <f t="shared" si="25"/>
        <v>546.974738518673</v>
      </c>
      <c r="M15" s="7">
        <f t="shared" si="25"/>
        <v>212.234593141874</v>
      </c>
      <c r="N15" s="9">
        <f t="shared" si="24"/>
        <v>470.962194116644</v>
      </c>
    </row>
    <row r="16" spans="1:14">
      <c r="A16" s="3" t="s">
        <v>17</v>
      </c>
      <c r="B16" s="1">
        <v>696769.99</v>
      </c>
      <c r="C16" s="1">
        <v>181734.08</v>
      </c>
      <c r="E16" s="10" t="s">
        <v>5</v>
      </c>
      <c r="F16" s="7">
        <f t="shared" ref="F16:M16" si="26">SQRT((VLOOKUP($E$16,$A$1:$C$31,2,FALSE)-VLOOKUP(F13,$A$1:$C$31,2,FALSE))^2+(VLOOKUP($E$16,$A$1:$C$31,3,FALSE)-VLOOKUP(F13,$A$1:$C$31,3,FALSE))^2)</f>
        <v>466.401960192787</v>
      </c>
      <c r="G16" s="7">
        <f t="shared" si="26"/>
        <v>363.084955804571</v>
      </c>
      <c r="H16" s="7">
        <f t="shared" si="26"/>
        <v>176.143672645863</v>
      </c>
      <c r="I16" s="7">
        <f t="shared" si="26"/>
        <v>164.013286975619</v>
      </c>
      <c r="J16" s="7">
        <f t="shared" si="26"/>
        <v>524.460855816735</v>
      </c>
      <c r="K16" s="7">
        <f t="shared" si="26"/>
        <v>625.815331338235</v>
      </c>
      <c r="L16" s="7">
        <f t="shared" si="26"/>
        <v>445.446220304737</v>
      </c>
      <c r="M16" s="7">
        <f t="shared" si="26"/>
        <v>411.460779825727</v>
      </c>
      <c r="N16" s="9">
        <f t="shared" si="24"/>
        <v>397.103382863034</v>
      </c>
    </row>
    <row r="17" spans="1:14">
      <c r="A17" s="3" t="s">
        <v>18</v>
      </c>
      <c r="B17" s="1">
        <v>696263.875</v>
      </c>
      <c r="C17" s="1">
        <v>181482.938</v>
      </c>
      <c r="E17" s="10" t="s">
        <v>6</v>
      </c>
      <c r="F17" s="7">
        <f t="shared" ref="F17:M17" si="27">SQRT((VLOOKUP($E$17,$A$1:$C$31,2,FALSE)-VLOOKUP(F13,$A$1:$C$31,2,FALSE))^2+(VLOOKUP($E$17,$A$1:$C$31,3,FALSE)-VLOOKUP(F13,$A$1:$C$31,3,FALSE))^2)</f>
        <v>532.633092462133</v>
      </c>
      <c r="G17" s="7">
        <f t="shared" si="27"/>
        <v>1024.21358511996</v>
      </c>
      <c r="H17" s="7">
        <f t="shared" si="27"/>
        <v>882.633958106588</v>
      </c>
      <c r="I17" s="7">
        <f t="shared" si="27"/>
        <v>552.370194176704</v>
      </c>
      <c r="J17" s="7">
        <f t="shared" si="27"/>
        <v>186.477706692678</v>
      </c>
      <c r="K17" s="7">
        <f t="shared" si="27"/>
        <v>443.241512307972</v>
      </c>
      <c r="L17" s="7">
        <f t="shared" si="27"/>
        <v>996.809742164167</v>
      </c>
      <c r="M17" s="7">
        <f t="shared" si="27"/>
        <v>697.409755631106</v>
      </c>
      <c r="N17" s="9">
        <f t="shared" si="24"/>
        <v>664.473693332664</v>
      </c>
    </row>
    <row r="18" spans="1:14">
      <c r="A18" s="3" t="s">
        <v>19</v>
      </c>
      <c r="B18" s="1">
        <v>696503</v>
      </c>
      <c r="C18" s="1">
        <v>181491</v>
      </c>
      <c r="E18" s="10" t="s">
        <v>7</v>
      </c>
      <c r="F18" s="7">
        <f t="shared" ref="F18:M18" si="28">SQRT((VLOOKUP($E$18,$A$1:$C$31,2,FALSE)-VLOOKUP(F13,$A$1:$C$31,2,FALSE))^2+(VLOOKUP($E$18,$A$1:$C$31,3,FALSE)-VLOOKUP(F13,$A$1:$C$31,3,FALSE))^2)</f>
        <v>727.794017581356</v>
      </c>
      <c r="G18" s="7">
        <f t="shared" si="28"/>
        <v>212.119491918209</v>
      </c>
      <c r="H18" s="7">
        <f t="shared" si="28"/>
        <v>160.135588418569</v>
      </c>
      <c r="I18" s="7">
        <f t="shared" si="28"/>
        <v>492.546838877852</v>
      </c>
      <c r="J18" s="7">
        <f t="shared" si="28"/>
        <v>856.974933717464</v>
      </c>
      <c r="K18" s="7">
        <f t="shared" si="28"/>
        <v>912.52273943693</v>
      </c>
      <c r="L18" s="7">
        <f t="shared" si="28"/>
        <v>416.993271952425</v>
      </c>
      <c r="M18" s="7">
        <f t="shared" si="28"/>
        <v>607.891594950905</v>
      </c>
      <c r="N18" s="9">
        <f t="shared" si="24"/>
        <v>548.372309606714</v>
      </c>
    </row>
    <row r="19" spans="1:14">
      <c r="A19" s="3" t="s">
        <v>20</v>
      </c>
      <c r="B19" s="1">
        <v>696054</v>
      </c>
      <c r="C19" s="1">
        <v>181243.8</v>
      </c>
      <c r="E19" s="10" t="s">
        <v>8</v>
      </c>
      <c r="F19" s="7">
        <f t="shared" ref="F19:M19" si="29">SQRT((VLOOKUP($E$19,$A$1:$C$31,2,FALSE)-VLOOKUP(F13,$A$1:$C$31,2,FALSE))^2+(VLOOKUP($E$19,$A$1:$C$31,3,FALSE)-VLOOKUP(F13,$A$1:$C$31,3,FALSE))^2)</f>
        <v>443.359898499014</v>
      </c>
      <c r="G19" s="7">
        <f t="shared" si="29"/>
        <v>179.785720379782</v>
      </c>
      <c r="H19" s="7">
        <f t="shared" si="29"/>
        <v>315.476904545082</v>
      </c>
      <c r="I19" s="7">
        <f t="shared" si="29"/>
        <v>444.226945583468</v>
      </c>
      <c r="J19" s="7">
        <f t="shared" si="29"/>
        <v>729.864990643929</v>
      </c>
      <c r="K19" s="7">
        <f t="shared" si="29"/>
        <v>920.957900060965</v>
      </c>
      <c r="L19" s="7">
        <f t="shared" si="29"/>
        <v>688.426556859117</v>
      </c>
      <c r="M19" s="7">
        <f t="shared" si="29"/>
        <v>729.462456957154</v>
      </c>
      <c r="N19" s="9">
        <f t="shared" si="24"/>
        <v>556.445171691064</v>
      </c>
    </row>
    <row r="20" spans="1:14">
      <c r="A20" s="3" t="s">
        <v>21</v>
      </c>
      <c r="B20" s="1">
        <v>696150</v>
      </c>
      <c r="C20" s="1">
        <v>181137</v>
      </c>
      <c r="E20" s="10" t="s">
        <v>9</v>
      </c>
      <c r="F20" s="7">
        <f t="shared" ref="F20:M20" si="30">SQRT((VLOOKUP($E$20,$A$1:$C$31,2,FALSE)-VLOOKUP(F13,$A$1:$C$31,2,FALSE))^2+(VLOOKUP($E$20,$A$1:$C$31,3,FALSE)-VLOOKUP(F13,$A$1:$C$31,3,FALSE))^2)</f>
        <v>626.861827641855</v>
      </c>
      <c r="G20" s="7">
        <f t="shared" si="30"/>
        <v>925.737038911306</v>
      </c>
      <c r="H20" s="7">
        <f t="shared" si="30"/>
        <v>721.352284161904</v>
      </c>
      <c r="I20" s="7">
        <f t="shared" si="30"/>
        <v>405.086838780605</v>
      </c>
      <c r="J20" s="7">
        <f t="shared" si="30"/>
        <v>211.277393947164</v>
      </c>
      <c r="K20" s="7">
        <f t="shared" si="30"/>
        <v>147.45191333774</v>
      </c>
      <c r="L20" s="7">
        <f t="shared" si="30"/>
        <v>736.679055794351</v>
      </c>
      <c r="M20" s="7">
        <f t="shared" si="30"/>
        <v>410.923932152844</v>
      </c>
      <c r="N20" s="9">
        <f t="shared" si="24"/>
        <v>523.171285590971</v>
      </c>
    </row>
    <row r="21" spans="1:14">
      <c r="A21" s="3" t="s">
        <v>22</v>
      </c>
      <c r="B21" s="1">
        <v>696276</v>
      </c>
      <c r="C21" s="1">
        <v>181263</v>
      </c>
      <c r="E21" s="10" t="s">
        <v>10</v>
      </c>
      <c r="F21" s="7">
        <f t="shared" ref="F21:M21" si="31">SQRT((VLOOKUP($E$21,$A$1:$C$31,2,FALSE)-VLOOKUP(F13,$A$1:$C$31,2,FALSE))^2+(VLOOKUP($E$21,$A$1:$C$31,3,FALSE)-VLOOKUP(F13,$A$1:$C$31,3,FALSE))^2)</f>
        <v>606.030894362523</v>
      </c>
      <c r="G21" s="7">
        <f t="shared" si="31"/>
        <v>688.62834704859</v>
      </c>
      <c r="H21" s="7">
        <f t="shared" si="31"/>
        <v>452.554348807956</v>
      </c>
      <c r="I21" s="7">
        <f t="shared" si="31"/>
        <v>210.349542015165</v>
      </c>
      <c r="J21" s="7">
        <f t="shared" si="31"/>
        <v>376.019369979831</v>
      </c>
      <c r="K21" s="7">
        <f t="shared" si="31"/>
        <v>307.529774330892</v>
      </c>
      <c r="L21" s="7">
        <f t="shared" si="31"/>
        <v>449.612662188253</v>
      </c>
      <c r="M21" s="7">
        <f t="shared" si="31"/>
        <v>166.974823551354</v>
      </c>
      <c r="N21" s="9">
        <f t="shared" si="24"/>
        <v>407.21247028557</v>
      </c>
    </row>
    <row r="22" spans="1:14">
      <c r="A22" s="3" t="s">
        <v>23</v>
      </c>
      <c r="B22" s="1">
        <v>696390</v>
      </c>
      <c r="C22" s="1">
        <v>181357</v>
      </c>
      <c r="E22" s="10" t="s">
        <v>11</v>
      </c>
      <c r="F22" s="7">
        <f t="shared" ref="F22:M22" si="32">SQRT((VLOOKUP($E$22,$A$1:$C$31,2,FALSE)-VLOOKUP(F13,$A$1:$C$31,2,FALSE))^2+(VLOOKUP($E$22,$A$1:$C$31,3,FALSE)-VLOOKUP(F13,$A$1:$C$31,3,FALSE))^2)</f>
        <v>360.937080149887</v>
      </c>
      <c r="G22" s="7">
        <f t="shared" si="32"/>
        <v>505.954165716975</v>
      </c>
      <c r="H22" s="7">
        <f t="shared" si="32"/>
        <v>348.904480803864</v>
      </c>
      <c r="I22" s="7">
        <f t="shared" si="32"/>
        <v>64.7499225173529</v>
      </c>
      <c r="J22" s="7">
        <f t="shared" si="32"/>
        <v>354.622698653103</v>
      </c>
      <c r="K22" s="7">
        <f t="shared" si="32"/>
        <v>514.753660404663</v>
      </c>
      <c r="L22" s="7">
        <f t="shared" si="32"/>
        <v>559.236707128587</v>
      </c>
      <c r="M22" s="7">
        <f t="shared" si="32"/>
        <v>408.990989265067</v>
      </c>
      <c r="N22" s="9">
        <f t="shared" si="24"/>
        <v>389.768713079937</v>
      </c>
    </row>
    <row r="23" spans="1:14">
      <c r="A23" s="3" t="s">
        <v>24</v>
      </c>
      <c r="B23" s="1">
        <v>696896</v>
      </c>
      <c r="C23" s="1">
        <v>181868</v>
      </c>
      <c r="E23" s="10" t="s">
        <v>12</v>
      </c>
      <c r="F23" s="7">
        <f t="shared" ref="F23:M23" si="33">SQRT((VLOOKUP($E$23,$A$1:$C$31,2,FALSE)-VLOOKUP(F13,$A$1:$C$31,2,FALSE))^2+(VLOOKUP($E$23,$A$1:$C$31,3,FALSE)-VLOOKUP(F13,$A$1:$C$31,3,FALSE))^2)</f>
        <v>188.590398375227</v>
      </c>
      <c r="G23" s="7">
        <f t="shared" si="33"/>
        <v>617.085291046843</v>
      </c>
      <c r="H23" s="7">
        <f t="shared" si="33"/>
        <v>529.023581256109</v>
      </c>
      <c r="I23" s="7">
        <f t="shared" si="33"/>
        <v>265.940530844823</v>
      </c>
      <c r="J23" s="7">
        <f t="shared" si="33"/>
        <v>280.034662318806</v>
      </c>
      <c r="K23" s="7">
        <f t="shared" si="33"/>
        <v>576.026557200297</v>
      </c>
      <c r="L23" s="7">
        <f t="shared" si="33"/>
        <v>767.980807637842</v>
      </c>
      <c r="M23" s="7">
        <f t="shared" si="33"/>
        <v>585.489994619944</v>
      </c>
      <c r="N23" s="9">
        <f t="shared" si="24"/>
        <v>476.271477912486</v>
      </c>
    </row>
    <row r="24" spans="1:14">
      <c r="A24" s="4" t="s">
        <v>25</v>
      </c>
      <c r="B24" s="1">
        <v>697022.2099001</v>
      </c>
      <c r="C24" s="1">
        <v>181198.4022454</v>
      </c>
      <c r="E24" s="10" t="s">
        <v>13</v>
      </c>
      <c r="F24" s="7">
        <f t="shared" ref="F24:M24" si="34">SQRT((VLOOKUP($E$24,$A$1:$C$31,2,FALSE)-VLOOKUP(F13,$A$1:$C$31,2,FALSE))^2+(VLOOKUP($E$24,$A$1:$C$31,3,FALSE)-VLOOKUP(F13,$A$1:$C$31,3,FALSE))^2)</f>
        <v>233.662943724025</v>
      </c>
      <c r="G24" s="7">
        <f t="shared" si="34"/>
        <v>455.773229561017</v>
      </c>
      <c r="H24" s="7">
        <f t="shared" si="34"/>
        <v>385.508088793174</v>
      </c>
      <c r="I24" s="7">
        <f t="shared" si="34"/>
        <v>216.604565108838</v>
      </c>
      <c r="J24" s="7">
        <f t="shared" si="34"/>
        <v>415.438094064594</v>
      </c>
      <c r="K24" s="7">
        <f t="shared" si="34"/>
        <v>648.561024499606</v>
      </c>
      <c r="L24" s="7">
        <f t="shared" si="34"/>
        <v>672.998938632102</v>
      </c>
      <c r="M24" s="7">
        <f t="shared" si="34"/>
        <v>561.147202167103</v>
      </c>
      <c r="N24" s="9">
        <f t="shared" si="24"/>
        <v>448.711760818807</v>
      </c>
    </row>
    <row r="25" spans="1:14">
      <c r="A25" s="4" t="s">
        <v>26</v>
      </c>
      <c r="B25" s="1">
        <v>696496.6354673</v>
      </c>
      <c r="C25" s="1">
        <v>180875.1207178</v>
      </c>
      <c r="E25" s="10" t="s">
        <v>14</v>
      </c>
      <c r="F25" s="7">
        <f t="shared" ref="F25:M25" si="35">SQRT((VLOOKUP($E$25,$A$1:$C$31,2,FALSE)-VLOOKUP(F13,$A$1:$C$31,2,FALSE))^2+(VLOOKUP($E$25,$A$1:$C$31,3,FALSE)-VLOOKUP(F13,$A$1:$C$31,3,FALSE))^2)</f>
        <v>353.689773626858</v>
      </c>
      <c r="G25" s="7">
        <f t="shared" si="35"/>
        <v>308.408231437739</v>
      </c>
      <c r="H25" s="7">
        <f t="shared" si="35"/>
        <v>259.01027146622</v>
      </c>
      <c r="I25" s="7">
        <f t="shared" si="35"/>
        <v>253.832523893229</v>
      </c>
      <c r="J25" s="7">
        <f t="shared" si="35"/>
        <v>547.990768626643</v>
      </c>
      <c r="K25" s="7">
        <f t="shared" si="35"/>
        <v>729.074161522681</v>
      </c>
      <c r="L25" s="7">
        <f t="shared" si="35"/>
        <v>594.870036310457</v>
      </c>
      <c r="M25" s="7">
        <f t="shared" si="35"/>
        <v>563.205681967087</v>
      </c>
      <c r="N25" s="9">
        <f t="shared" si="24"/>
        <v>451.260181106364</v>
      </c>
    </row>
    <row r="26" spans="1:14">
      <c r="A26" s="4" t="s">
        <v>27</v>
      </c>
      <c r="B26" s="1">
        <v>696417</v>
      </c>
      <c r="C26" s="1">
        <v>181126.375</v>
      </c>
      <c r="E26" s="10" t="s">
        <v>15</v>
      </c>
      <c r="F26" s="7">
        <f t="shared" ref="F26:M26" si="36">SQRT((VLOOKUP($E$26,$A$1:$C$31,2,FALSE)-VLOOKUP(F13,$A$1:$C$31,2,FALSE))^2+(VLOOKUP($E$26,$A$1:$C$31,3,FALSE)-VLOOKUP(F13,$A$1:$C$31,3,FALSE))^2)</f>
        <v>562.746332587841</v>
      </c>
      <c r="G26" s="7">
        <f t="shared" si="36"/>
        <v>742.337839616184</v>
      </c>
      <c r="H26" s="7">
        <f t="shared" si="36"/>
        <v>524.944327929143</v>
      </c>
      <c r="I26" s="7">
        <f t="shared" si="36"/>
        <v>228.13626267209</v>
      </c>
      <c r="J26" s="7">
        <f t="shared" si="36"/>
        <v>276.60156272161</v>
      </c>
      <c r="K26" s="7">
        <f t="shared" si="36"/>
        <v>249.15711107654</v>
      </c>
      <c r="L26" s="7">
        <f t="shared" si="36"/>
        <v>553.772021051968</v>
      </c>
      <c r="M26" s="7">
        <f t="shared" si="36"/>
        <v>257.371377584985</v>
      </c>
      <c r="N26" s="9">
        <f t="shared" si="24"/>
        <v>424.383354405045</v>
      </c>
    </row>
    <row r="27" spans="1:14">
      <c r="A27" s="4" t="s">
        <v>28</v>
      </c>
      <c r="B27" s="1">
        <v>696636.375</v>
      </c>
      <c r="C27" s="1">
        <v>181376.719</v>
      </c>
      <c r="E27" s="10" t="s">
        <v>16</v>
      </c>
      <c r="F27" s="7">
        <f t="shared" ref="F27:M27" si="37">SQRT((VLOOKUP($E$27,$A$1:$C$31,2,FALSE)-VLOOKUP(F13,$A$1:$C$31,2,FALSE))^2+(VLOOKUP($E$27,$A$1:$C$31,3,FALSE)-VLOOKUP(F13,$A$1:$C$31,3,FALSE))^2)</f>
        <v>360.907696288779</v>
      </c>
      <c r="G27" s="7">
        <f t="shared" si="37"/>
        <v>679.609560827131</v>
      </c>
      <c r="H27" s="7">
        <f t="shared" si="37"/>
        <v>523.651615031394</v>
      </c>
      <c r="I27" s="7">
        <f t="shared" si="37"/>
        <v>195.466166755255</v>
      </c>
      <c r="J27" s="7">
        <f t="shared" si="37"/>
        <v>176.356951946939</v>
      </c>
      <c r="K27" s="7">
        <f t="shared" si="37"/>
        <v>405.721299662713</v>
      </c>
      <c r="L27" s="7">
        <f t="shared" si="37"/>
        <v>677.746128945045</v>
      </c>
      <c r="M27" s="7">
        <f t="shared" si="37"/>
        <v>441.19407452957</v>
      </c>
      <c r="N27" s="9">
        <f t="shared" si="24"/>
        <v>432.581686748353</v>
      </c>
    </row>
    <row r="28" spans="1:14">
      <c r="A28" s="4" t="s">
        <v>29</v>
      </c>
      <c r="B28" s="1">
        <v>696909.05</v>
      </c>
      <c r="C28" s="1">
        <v>181621.97</v>
      </c>
      <c r="E28" s="10" t="s">
        <v>17</v>
      </c>
      <c r="F28" s="7">
        <f t="shared" ref="F28:M28" si="38">SQRT((VLOOKUP($E$28,$A$1:$C$31,2,FALSE)-VLOOKUP(F13,$A$1:$C$31,2,FALSE))^2+(VLOOKUP($E$28,$A$1:$C$31,3,FALSE)-VLOOKUP(F13,$A$1:$C$31,3,FALSE))^2)</f>
        <v>592.085749515848</v>
      </c>
      <c r="G28" s="7">
        <f t="shared" si="38"/>
        <v>901.406539262495</v>
      </c>
      <c r="H28" s="7">
        <f t="shared" si="38"/>
        <v>702.785391940511</v>
      </c>
      <c r="I28" s="7">
        <f t="shared" si="38"/>
        <v>381.523069480706</v>
      </c>
      <c r="J28" s="7">
        <f t="shared" si="38"/>
        <v>178.623446669278</v>
      </c>
      <c r="K28" s="7">
        <f t="shared" si="38"/>
        <v>179.871454655803</v>
      </c>
      <c r="L28" s="7">
        <f t="shared" si="38"/>
        <v>735.224141673808</v>
      </c>
      <c r="M28" s="7">
        <f t="shared" si="38"/>
        <v>415.769991461616</v>
      </c>
      <c r="N28" s="9">
        <f t="shared" si="24"/>
        <v>510.911223082508</v>
      </c>
    </row>
    <row r="29" spans="1:14">
      <c r="A29" s="4" t="s">
        <v>30</v>
      </c>
      <c r="B29" s="1">
        <v>696635.9</v>
      </c>
      <c r="C29" s="1">
        <v>181853.97</v>
      </c>
      <c r="E29" s="10" t="s">
        <v>18</v>
      </c>
      <c r="F29" s="7">
        <f t="shared" ref="F29:M29" si="39">SQRT((VLOOKUP($E$29,$A$1:$C$31,2,FALSE)-VLOOKUP(F13,$A$1:$C$31,2,FALSE))^2+(VLOOKUP($E$29,$A$1:$C$31,3,FALSE)-VLOOKUP(F13,$A$1:$C$31,3,FALSE))^2)</f>
        <v>809.958280626531</v>
      </c>
      <c r="G29" s="7">
        <f t="shared" si="39"/>
        <v>650.860417968934</v>
      </c>
      <c r="H29" s="7">
        <f t="shared" si="39"/>
        <v>388.052108091164</v>
      </c>
      <c r="I29" s="7">
        <f t="shared" si="39"/>
        <v>387.348326394986</v>
      </c>
      <c r="J29" s="7">
        <f t="shared" si="39"/>
        <v>659.985361693017</v>
      </c>
      <c r="K29" s="7">
        <f t="shared" si="39"/>
        <v>525.421112679175</v>
      </c>
      <c r="L29" s="7">
        <f t="shared" si="39"/>
        <v>174.688722214691</v>
      </c>
      <c r="M29" s="7">
        <f t="shared" si="39"/>
        <v>163.586380267433</v>
      </c>
      <c r="N29" s="9">
        <f t="shared" si="24"/>
        <v>469.987588741991</v>
      </c>
    </row>
    <row r="30" spans="1:14">
      <c r="A30" s="4" t="s">
        <v>31</v>
      </c>
      <c r="B30" s="1">
        <v>696132.5</v>
      </c>
      <c r="C30" s="1">
        <v>181367.8</v>
      </c>
      <c r="E30" s="10" t="s">
        <v>19</v>
      </c>
      <c r="F30" s="7">
        <f t="shared" ref="F30:M30" si="40">SQRT((VLOOKUP($E$30,$A$1:$C$31,2,FALSE)-VLOOKUP(F13,$A$1:$C$31,2,FALSE))^2+(VLOOKUP($E$30,$A$1:$C$31,3,FALSE)-VLOOKUP(F13,$A$1:$C$31,3,FALSE))^2)</f>
        <v>595.980172790024</v>
      </c>
      <c r="G30" s="7">
        <f t="shared" si="40"/>
        <v>615.912167049564</v>
      </c>
      <c r="H30" s="7">
        <f t="shared" si="40"/>
        <v>374.629671308881</v>
      </c>
      <c r="I30" s="7">
        <f t="shared" si="40"/>
        <v>175.638940972659</v>
      </c>
      <c r="J30" s="7">
        <f t="shared" si="40"/>
        <v>426.64943853243</v>
      </c>
      <c r="K30" s="7">
        <f t="shared" si="40"/>
        <v>386.535419981154</v>
      </c>
      <c r="L30" s="7">
        <f t="shared" si="40"/>
        <v>390.4465264284</v>
      </c>
      <c r="M30" s="7">
        <f t="shared" si="40"/>
        <v>169.227221510022</v>
      </c>
      <c r="N30" s="9">
        <f t="shared" si="24"/>
        <v>391.877444821642</v>
      </c>
    </row>
    <row r="31" spans="1:14">
      <c r="A31" s="4" t="s">
        <v>32</v>
      </c>
      <c r="B31" s="1">
        <v>696375.62</v>
      </c>
      <c r="C31" s="1">
        <v>181602.41</v>
      </c>
      <c r="E31" s="10" t="s">
        <v>20</v>
      </c>
      <c r="F31" s="7">
        <f t="shared" ref="F31:M31" si="41">SQRT((VLOOKUP($E$31,$A$1:$C$31,2,FALSE)-VLOOKUP(F13,$A$1:$C$31,2,FALSE))^2+(VLOOKUP($E$31,$A$1:$C$31,3,FALSE)-VLOOKUP(F13,$A$1:$C$31,3,FALSE))^2)</f>
        <v>969.273628432346</v>
      </c>
      <c r="G31" s="7">
        <f t="shared" si="41"/>
        <v>576.064727296646</v>
      </c>
      <c r="H31" s="7">
        <f t="shared" si="41"/>
        <v>381.520157560511</v>
      </c>
      <c r="I31" s="7">
        <f t="shared" si="41"/>
        <v>597.350902892099</v>
      </c>
      <c r="J31" s="7">
        <f t="shared" si="41"/>
        <v>934.945480442624</v>
      </c>
      <c r="K31" s="7">
        <f t="shared" si="41"/>
        <v>843.157778176803</v>
      </c>
      <c r="L31" s="7">
        <f t="shared" si="41"/>
        <v>146.759156443474</v>
      </c>
      <c r="M31" s="7">
        <f t="shared" si="41"/>
        <v>481.705881736987</v>
      </c>
      <c r="N31" s="9">
        <f t="shared" si="24"/>
        <v>616.347214122686</v>
      </c>
    </row>
    <row r="32" spans="5:14">
      <c r="E32" s="10" t="s">
        <v>21</v>
      </c>
      <c r="F32" s="7">
        <f t="shared" ref="F32:M32" si="42">SQRT((VLOOKUP($E$32,$A$1:$C$31,2,FALSE)-VLOOKUP(F13,$A$1:$C$31,2,FALSE))^2+(VLOOKUP($E$32,$A$1:$C$31,3,FALSE)-VLOOKUP(F13,$A$1:$C$31,3,FALSE))^2)</f>
        <v>874.368541046991</v>
      </c>
      <c r="G32" s="7">
        <f t="shared" si="42"/>
        <v>434.438609743487</v>
      </c>
      <c r="H32" s="7">
        <f t="shared" si="42"/>
        <v>267.211322037447</v>
      </c>
      <c r="I32" s="7">
        <f t="shared" si="42"/>
        <v>542.241495632717</v>
      </c>
      <c r="J32" s="7">
        <f t="shared" si="42"/>
        <v>900.751243907036</v>
      </c>
      <c r="K32" s="7">
        <f t="shared" si="42"/>
        <v>866.108994815332</v>
      </c>
      <c r="L32" s="7">
        <f t="shared" si="42"/>
        <v>231.462502362682</v>
      </c>
      <c r="M32" s="7">
        <f t="shared" si="42"/>
        <v>517.21451304077</v>
      </c>
      <c r="N32" s="9">
        <f t="shared" si="24"/>
        <v>579.224652823308</v>
      </c>
    </row>
    <row r="33" spans="5:14">
      <c r="E33" s="10" t="s">
        <v>22</v>
      </c>
      <c r="F33" s="7">
        <f t="shared" ref="F33:M33" si="43">SQRT((VLOOKUP($E$33,$A$1:$C$31,2,FALSE)-VLOOKUP(F13,$A$1:$C$31,2,FALSE))^2+(VLOOKUP($E$33,$A$1:$C$31,3,FALSE)-VLOOKUP(F13,$A$1:$C$31,3,FALSE))^2)</f>
        <v>749.000724236391</v>
      </c>
      <c r="G33" s="7">
        <f t="shared" si="43"/>
        <v>446.240234616587</v>
      </c>
      <c r="H33" s="7">
        <f t="shared" si="43"/>
        <v>196.334894058596</v>
      </c>
      <c r="I33" s="7">
        <f t="shared" si="43"/>
        <v>377.891719393271</v>
      </c>
      <c r="J33" s="7">
        <f t="shared" si="43"/>
        <v>727.744298088319</v>
      </c>
      <c r="K33" s="7">
        <f t="shared" si="43"/>
        <v>691.934643517737</v>
      </c>
      <c r="L33" s="7">
        <f t="shared" si="43"/>
        <v>177.69437244887</v>
      </c>
      <c r="M33" s="7">
        <f t="shared" si="43"/>
        <v>353.72770954507</v>
      </c>
      <c r="N33" s="9">
        <f t="shared" si="24"/>
        <v>465.071074488105</v>
      </c>
    </row>
    <row r="34" spans="5:14">
      <c r="E34" s="10" t="s">
        <v>23</v>
      </c>
      <c r="F34" s="7">
        <f t="shared" ref="F34:M34" si="44">SQRT((VLOOKUP($E$34,$A$1:$C$31,2,FALSE)-VLOOKUP(F13,$A$1:$C$31,2,FALSE))^2+(VLOOKUP($E$34,$A$1:$C$31,3,FALSE)-VLOOKUP(F13,$A$1:$C$31,3,FALSE))^2)</f>
        <v>651.799513308067</v>
      </c>
      <c r="G34" s="7">
        <f t="shared" si="44"/>
        <v>493.536995067115</v>
      </c>
      <c r="H34" s="7">
        <f t="shared" si="44"/>
        <v>232.200109011602</v>
      </c>
      <c r="I34" s="7">
        <f t="shared" si="44"/>
        <v>247.162860450353</v>
      </c>
      <c r="J34" s="7">
        <f t="shared" si="44"/>
        <v>582.770969935917</v>
      </c>
      <c r="K34" s="7">
        <f t="shared" si="44"/>
        <v>554.478124816491</v>
      </c>
      <c r="L34" s="7">
        <f t="shared" si="44"/>
        <v>257.726385921193</v>
      </c>
      <c r="M34" s="7">
        <f t="shared" si="44"/>
        <v>245.830942926235</v>
      </c>
      <c r="N34" s="9">
        <f t="shared" si="24"/>
        <v>408.188237679622</v>
      </c>
    </row>
    <row r="35" spans="5:14">
      <c r="E35" s="10" t="s">
        <v>24</v>
      </c>
      <c r="F35" s="7">
        <f t="shared" ref="F35:M35" si="45">SQRT((VLOOKUP($E$35,$A$1:$C$31,2,FALSE)-VLOOKUP(F13,$A$1:$C$31,2,FALSE))^2+(VLOOKUP($E$35,$A$1:$C$31,3,FALSE)-VLOOKUP(F13,$A$1:$C$31,3,FALSE))^2)</f>
        <v>681.388356114637</v>
      </c>
      <c r="G35" s="7">
        <f t="shared" si="45"/>
        <v>1070.18750646825</v>
      </c>
      <c r="H35" s="7">
        <f t="shared" si="45"/>
        <v>882.863885672644</v>
      </c>
      <c r="I35" s="7">
        <f t="shared" si="45"/>
        <v>555.663712677001</v>
      </c>
      <c r="J35" s="7">
        <f t="shared" si="45"/>
        <v>246.375857989375</v>
      </c>
      <c r="K35" s="7">
        <f t="shared" si="45"/>
        <v>260.478119810451</v>
      </c>
      <c r="L35" s="7">
        <f t="shared" si="45"/>
        <v>912.760806564355</v>
      </c>
      <c r="M35" s="7">
        <f t="shared" si="45"/>
        <v>584.237445307987</v>
      </c>
      <c r="N35" s="9">
        <f t="shared" si="24"/>
        <v>649.244461325588</v>
      </c>
    </row>
  </sheetData>
  <conditionalFormatting sqref="F14:M14">
    <cfRule type="cellIs" dxfId="0" priority="24" operator="greaterThan">
      <formula>$F$11</formula>
    </cfRule>
  </conditionalFormatting>
  <conditionalFormatting sqref="F15:M15">
    <cfRule type="cellIs" dxfId="0" priority="23" operator="greaterThan">
      <formula>$G$11</formula>
    </cfRule>
  </conditionalFormatting>
  <conditionalFormatting sqref="F16:M16">
    <cfRule type="cellIs" dxfId="0" priority="22" operator="greaterThan">
      <formula>$H$11</formula>
    </cfRule>
  </conditionalFormatting>
  <conditionalFormatting sqref="F17:M17">
    <cfRule type="cellIs" dxfId="0" priority="21" operator="greaterThan">
      <formula>$I$11</formula>
    </cfRule>
  </conditionalFormatting>
  <conditionalFormatting sqref="F18:M18">
    <cfRule type="cellIs" dxfId="0" priority="20" operator="greaterThan">
      <formula>$J$11</formula>
    </cfRule>
  </conditionalFormatting>
  <conditionalFormatting sqref="F19:M19">
    <cfRule type="cellIs" dxfId="0" priority="19" operator="greaterThan">
      <formula>$K$11</formula>
    </cfRule>
  </conditionalFormatting>
  <conditionalFormatting sqref="F20:M20">
    <cfRule type="cellIs" dxfId="0" priority="18" operator="greaterThan">
      <formula>$L$11</formula>
    </cfRule>
  </conditionalFormatting>
  <conditionalFormatting sqref="F21:M21">
    <cfRule type="cellIs" dxfId="0" priority="15" operator="greaterThan">
      <formula>$M$11</formula>
    </cfRule>
    <cfRule type="cellIs" dxfId="0" priority="17" operator="greaterThan">
      <formula>427.8015853</formula>
    </cfRule>
  </conditionalFormatting>
  <conditionalFormatting sqref="F22:M22">
    <cfRule type="cellIs" dxfId="0" priority="16" operator="greaterThan">
      <formula>$N$11</formula>
    </cfRule>
  </conditionalFormatting>
  <conditionalFormatting sqref="F23:M23">
    <cfRule type="cellIs" dxfId="0" priority="14" operator="greaterThan">
      <formula>$O$11</formula>
    </cfRule>
  </conditionalFormatting>
  <conditionalFormatting sqref="F24:M24">
    <cfRule type="cellIs" dxfId="0" priority="13" operator="greaterThan">
      <formula>$P$11</formula>
    </cfRule>
  </conditionalFormatting>
  <conditionalFormatting sqref="F25:M25">
    <cfRule type="cellIs" dxfId="0" priority="12" operator="greaterThan">
      <formula>$Q$11</formula>
    </cfRule>
  </conditionalFormatting>
  <conditionalFormatting sqref="F26:M26">
    <cfRule type="cellIs" dxfId="0" priority="11" operator="greaterThan">
      <formula>$R$11</formula>
    </cfRule>
  </conditionalFormatting>
  <conditionalFormatting sqref="F27:M27">
    <cfRule type="cellIs" dxfId="0" priority="10" operator="greaterThan">
      <formula>$S$11</formula>
    </cfRule>
  </conditionalFormatting>
  <conditionalFormatting sqref="F28:M28">
    <cfRule type="cellIs" dxfId="0" priority="9" operator="greaterThan">
      <formula>$T$11</formula>
    </cfRule>
  </conditionalFormatting>
  <conditionalFormatting sqref="F29:M29">
    <cfRule type="cellIs" dxfId="0" priority="8" operator="greaterThan">
      <formula>$U$11</formula>
    </cfRule>
  </conditionalFormatting>
  <conditionalFormatting sqref="F30:M30">
    <cfRule type="cellIs" dxfId="0" priority="7" operator="greaterThan">
      <formula>$V$11</formula>
    </cfRule>
  </conditionalFormatting>
  <conditionalFormatting sqref="F31:M31">
    <cfRule type="cellIs" dxfId="0" priority="6" operator="greaterThan">
      <formula>$W$11</formula>
    </cfRule>
  </conditionalFormatting>
  <conditionalFormatting sqref="F32:M32">
    <cfRule type="cellIs" dxfId="0" priority="5" operator="greaterThan">
      <formula>$X$11</formula>
    </cfRule>
  </conditionalFormatting>
  <conditionalFormatting sqref="F33:M33">
    <cfRule type="cellIs" dxfId="0" priority="4" operator="greaterThan">
      <formula>$Y$11</formula>
    </cfRule>
  </conditionalFormatting>
  <conditionalFormatting sqref="F34:M34">
    <cfRule type="cellIs" dxfId="0" priority="3" operator="greaterThan">
      <formula>$Z$11</formula>
    </cfRule>
  </conditionalFormatting>
  <conditionalFormatting sqref="F35:M35">
    <cfRule type="cellIs" dxfId="0" priority="2" operator="greaterThan">
      <formula>$AA$11</formula>
    </cfRule>
  </conditionalFormatting>
  <conditionalFormatting sqref="F3:F10">
    <cfRule type="cellIs" dxfId="0" priority="47" operator="greaterThan">
      <formula>$F$11</formula>
    </cfRule>
  </conditionalFormatting>
  <conditionalFormatting sqref="G3:G10">
    <cfRule type="cellIs" dxfId="0" priority="46" operator="greaterThan">
      <formula>$G$11</formula>
    </cfRule>
  </conditionalFormatting>
  <conditionalFormatting sqref="H3:H10">
    <cfRule type="cellIs" dxfId="0" priority="45" operator="greaterThan">
      <formula>$H$11</formula>
    </cfRule>
  </conditionalFormatting>
  <conditionalFormatting sqref="I3:I10">
    <cfRule type="cellIs" dxfId="0" priority="44" operator="greaterThan">
      <formula>$I$11</formula>
    </cfRule>
  </conditionalFormatting>
  <conditionalFormatting sqref="J3:J10">
    <cfRule type="cellIs" dxfId="0" priority="43" operator="greaterThan">
      <formula>$J$11</formula>
    </cfRule>
  </conditionalFormatting>
  <conditionalFormatting sqref="K3:K10">
    <cfRule type="cellIs" dxfId="0" priority="42" operator="greaterThan">
      <formula>$K$11</formula>
    </cfRule>
  </conditionalFormatting>
  <conditionalFormatting sqref="L3:L10">
    <cfRule type="cellIs" dxfId="0" priority="41" operator="greaterThan">
      <formula>$L$11</formula>
    </cfRule>
  </conditionalFormatting>
  <conditionalFormatting sqref="M3:M10">
    <cfRule type="cellIs" dxfId="0" priority="38" operator="greaterThan">
      <formula>$M$11</formula>
    </cfRule>
    <cfRule type="cellIs" dxfId="0" priority="40" operator="greaterThan">
      <formula>427.8015853</formula>
    </cfRule>
  </conditionalFormatting>
  <conditionalFormatting sqref="N3:N10">
    <cfRule type="cellIs" dxfId="0" priority="39" operator="greaterThan">
      <formula>$N$11</formula>
    </cfRule>
  </conditionalFormatting>
  <conditionalFormatting sqref="O3:O10">
    <cfRule type="cellIs" dxfId="0" priority="37" operator="greaterThan">
      <formula>$O$11</formula>
    </cfRule>
  </conditionalFormatting>
  <conditionalFormatting sqref="P3:P10">
    <cfRule type="cellIs" dxfId="0" priority="36" operator="greaterThan">
      <formula>$P$11</formula>
    </cfRule>
  </conditionalFormatting>
  <conditionalFormatting sqref="Q3:Q10">
    <cfRule type="cellIs" dxfId="0" priority="35" operator="greaterThan">
      <formula>$Q$11</formula>
    </cfRule>
  </conditionalFormatting>
  <conditionalFormatting sqref="R3:R10">
    <cfRule type="cellIs" dxfId="0" priority="34" operator="greaterThan">
      <formula>$R$11</formula>
    </cfRule>
  </conditionalFormatting>
  <conditionalFormatting sqref="S3:S10">
    <cfRule type="cellIs" dxfId="0" priority="33" operator="greaterThan">
      <formula>$S$11</formula>
    </cfRule>
  </conditionalFormatting>
  <conditionalFormatting sqref="T3:T10">
    <cfRule type="cellIs" dxfId="0" priority="32" operator="greaterThan">
      <formula>$T$11</formula>
    </cfRule>
  </conditionalFormatting>
  <conditionalFormatting sqref="U3:U10">
    <cfRule type="cellIs" dxfId="0" priority="31" operator="greaterThan">
      <formula>$U$11</formula>
    </cfRule>
  </conditionalFormatting>
  <conditionalFormatting sqref="V3:V10">
    <cfRule type="cellIs" dxfId="0" priority="30" operator="greaterThan">
      <formula>$V$11</formula>
    </cfRule>
  </conditionalFormatting>
  <conditionalFormatting sqref="W3:W10">
    <cfRule type="cellIs" dxfId="0" priority="29" operator="greaterThan">
      <formula>$W$11</formula>
    </cfRule>
  </conditionalFormatting>
  <conditionalFormatting sqref="X3:X10">
    <cfRule type="cellIs" dxfId="0" priority="28" operator="greaterThan">
      <formula>$X$11</formula>
    </cfRule>
  </conditionalFormatting>
  <conditionalFormatting sqref="Y3:Y10">
    <cfRule type="cellIs" dxfId="0" priority="27" operator="greaterThan">
      <formula>$Y$11</formula>
    </cfRule>
  </conditionalFormatting>
  <conditionalFormatting sqref="Z3:Z10">
    <cfRule type="cellIs" dxfId="0" priority="26" operator="greaterThan">
      <formula>$Z$11</formula>
    </cfRule>
  </conditionalFormatting>
  <conditionalFormatting sqref="AA3:AA10">
    <cfRule type="cellIs" dxfId="0" priority="25" operator="greaterThan">
      <formula>$AA$11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Location</vt:lpstr>
      <vt:lpstr>Data</vt:lpstr>
      <vt:lpstr>Data Day</vt:lpstr>
      <vt:lpstr>WC</vt:lpstr>
      <vt:lpstr>Distance Constraint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Grha Gandana P</dc:creator>
  <cp:lastModifiedBy>grhaputra</cp:lastModifiedBy>
  <dcterms:created xsi:type="dcterms:W3CDTF">2025-09-03T06:54:00Z</dcterms:created>
  <dcterms:modified xsi:type="dcterms:W3CDTF">2026-09-24T13:09:16Z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